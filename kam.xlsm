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myfsp\MCU_RCCEBIL\Fraud Sampling\Production Tracker\2019\October\"/>
    </mc:Choice>
  </mc:AlternateContent>
  <bookViews>
    <workbookView xWindow="0" yWindow="0" windowWidth="19200" windowHeight="10995" activeTab="1"/>
  </bookViews>
  <sheets>
    <sheet name="Data Saving" sheetId="3" r:id="rId1"/>
    <sheet name="Master" sheetId="2" r:id="rId2"/>
  </sheets>
  <externalReferences>
    <externalReference r:id="rId3"/>
    <externalReference r:id="rId4"/>
  </externalReferences>
  <definedNames>
    <definedName name="_xlnm._FilterDatabase" localSheetId="0" hidden="1">'Data Saving'!$A$1:$S$501</definedName>
    <definedName name="_xlnm._FilterDatabase" localSheetId="1" hidden="1">Master!$C$1:$D$5</definedName>
    <definedName name="anomale" localSheetId="0">[1]Master!$BA$1:$BE$1</definedName>
    <definedName name="anomale">Master!$BA$1:$BE$1</definedName>
    <definedName name="anomaly" localSheetId="0">[1]Master!$BA$1:$BD$1</definedName>
    <definedName name="anomaly">Master!$BA$1:$BD$1</definedName>
    <definedName name="incompletedoc">Master!$BB$2:$BB$4</definedName>
    <definedName name="noanomaly">Master!$BD$2</definedName>
    <definedName name="OTHERQUERIES">Master!$BA$2:$BA$4</definedName>
    <definedName name="queries">Master!$BA$2:$BA$4</definedName>
    <definedName name="soa">Master!$BC$2:$BC$3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5" i="2" l="1"/>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9" i="2"/>
  <c r="P10" i="2"/>
  <c r="P11" i="2"/>
  <c r="P12" i="2"/>
  <c r="P13" i="2"/>
  <c r="P14" i="2"/>
  <c r="P8" i="2"/>
  <c r="BA9" i="2" l="1"/>
  <c r="BA10" i="2"/>
  <c r="BA11" i="2"/>
  <c r="BA12" i="2"/>
  <c r="BA13" i="2"/>
  <c r="BA14" i="2"/>
  <c r="BA15" i="2"/>
  <c r="BA16" i="2"/>
  <c r="BA17" i="2"/>
  <c r="BA18" i="2"/>
  <c r="BA19" i="2"/>
  <c r="BA20" i="2"/>
  <c r="BA21" i="2"/>
  <c r="BA22" i="2"/>
  <c r="BA23" i="2"/>
  <c r="BA24" i="2"/>
  <c r="BA25" i="2"/>
  <c r="BA26" i="2"/>
  <c r="BA27" i="2"/>
  <c r="BA28" i="2"/>
  <c r="BA29" i="2"/>
  <c r="BA30" i="2"/>
  <c r="BA31" i="2"/>
  <c r="BA32" i="2"/>
  <c r="BA33" i="2"/>
  <c r="BA34" i="2"/>
  <c r="BA35" i="2"/>
  <c r="BA36" i="2"/>
  <c r="BA37" i="2"/>
  <c r="BA38" i="2"/>
  <c r="BA39" i="2"/>
  <c r="BA40" i="2"/>
  <c r="BA41" i="2"/>
  <c r="BA42" i="2"/>
  <c r="BA43" i="2"/>
  <c r="BA44" i="2"/>
  <c r="BA45" i="2"/>
  <c r="BA46" i="2"/>
  <c r="BA47" i="2"/>
  <c r="BA48" i="2"/>
  <c r="BA49" i="2"/>
  <c r="BA50" i="2"/>
  <c r="BA51" i="2"/>
  <c r="BA52" i="2"/>
  <c r="BA53" i="2"/>
  <c r="BA54" i="2"/>
  <c r="BA55" i="2"/>
  <c r="BA56" i="2"/>
  <c r="BA57" i="2"/>
  <c r="BA58" i="2"/>
  <c r="BA59" i="2"/>
  <c r="BA60" i="2"/>
  <c r="BA61" i="2"/>
  <c r="BA62" i="2"/>
  <c r="BA63" i="2"/>
  <c r="BA64" i="2"/>
  <c r="BA65" i="2"/>
  <c r="BA66" i="2"/>
  <c r="BA67" i="2"/>
  <c r="BA68" i="2"/>
  <c r="BA69" i="2"/>
  <c r="BA70" i="2"/>
  <c r="BA71" i="2"/>
  <c r="BA72" i="2"/>
  <c r="BA73" i="2"/>
  <c r="BA74" i="2"/>
  <c r="BA75" i="2"/>
  <c r="BA76" i="2"/>
  <c r="BA77" i="2"/>
  <c r="BA78" i="2"/>
  <c r="BA79" i="2"/>
  <c r="BA80" i="2"/>
  <c r="BA81" i="2"/>
  <c r="BA82" i="2"/>
  <c r="BA83" i="2"/>
  <c r="BA84" i="2"/>
  <c r="BA85" i="2"/>
  <c r="BA86" i="2"/>
  <c r="BA87" i="2"/>
  <c r="BA88" i="2"/>
  <c r="BA89" i="2"/>
  <c r="BA90" i="2"/>
  <c r="BA91" i="2"/>
  <c r="BA92" i="2"/>
  <c r="BA93" i="2"/>
  <c r="BA94" i="2"/>
  <c r="BA95" i="2"/>
  <c r="BA96" i="2"/>
  <c r="BA97" i="2"/>
  <c r="BA98" i="2"/>
  <c r="BA99" i="2"/>
  <c r="BA100" i="2"/>
  <c r="BA101" i="2"/>
  <c r="BA102" i="2"/>
  <c r="BA103" i="2"/>
  <c r="BA104" i="2"/>
  <c r="BA105" i="2"/>
  <c r="BA106" i="2"/>
  <c r="BA107" i="2"/>
  <c r="BA108" i="2"/>
  <c r="BA109" i="2"/>
  <c r="BA110" i="2"/>
  <c r="BA111" i="2"/>
  <c r="BA112" i="2"/>
  <c r="BA113" i="2"/>
  <c r="BA114" i="2"/>
  <c r="BA115" i="2"/>
  <c r="BA116" i="2"/>
  <c r="BA117" i="2"/>
  <c r="BA118" i="2"/>
  <c r="BA119" i="2"/>
  <c r="BA8" i="2" l="1"/>
  <c r="V352" i="2" l="1"/>
  <c r="V351" i="2"/>
  <c r="V350" i="2"/>
  <c r="V349" i="2"/>
  <c r="V348" i="2"/>
  <c r="V347" i="2"/>
  <c r="V346" i="2"/>
  <c r="V345" i="2"/>
  <c r="V344" i="2"/>
  <c r="V343" i="2"/>
  <c r="V342" i="2"/>
  <c r="V341" i="2"/>
  <c r="V340" i="2"/>
  <c r="V339" i="2"/>
  <c r="V338" i="2"/>
  <c r="V337" i="2"/>
  <c r="V336" i="2"/>
  <c r="V335" i="2"/>
  <c r="V334" i="2"/>
  <c r="V333" i="2"/>
  <c r="V332" i="2"/>
  <c r="V331" i="2"/>
  <c r="V330" i="2"/>
  <c r="V329" i="2"/>
  <c r="V328" i="2"/>
  <c r="V327" i="2"/>
  <c r="V326" i="2"/>
  <c r="V325" i="2"/>
  <c r="V324" i="2"/>
  <c r="V323" i="2"/>
  <c r="V322" i="2"/>
  <c r="V321" i="2"/>
  <c r="V320" i="2"/>
  <c r="V319" i="2"/>
  <c r="V318" i="2"/>
  <c r="V317" i="2"/>
  <c r="V316" i="2"/>
  <c r="V315" i="2"/>
  <c r="V314" i="2"/>
  <c r="V313" i="2"/>
  <c r="V312" i="2"/>
  <c r="V311" i="2"/>
  <c r="V310" i="2"/>
  <c r="V309" i="2"/>
  <c r="V308" i="2"/>
  <c r="V307" i="2"/>
  <c r="V306" i="2"/>
  <c r="V305" i="2"/>
  <c r="V304" i="2"/>
  <c r="V303" i="2"/>
  <c r="V302" i="2"/>
  <c r="V301" i="2"/>
  <c r="AL35" i="2"/>
  <c r="AL34" i="2"/>
  <c r="AL33" i="2"/>
  <c r="AL32" i="2"/>
  <c r="AL31" i="2"/>
  <c r="AL30" i="2"/>
  <c r="AL29" i="2"/>
  <c r="AL28" i="2"/>
  <c r="AL27" i="2"/>
  <c r="AL26" i="2"/>
  <c r="AL25" i="2"/>
  <c r="AL24" i="2"/>
  <c r="AL23" i="2"/>
  <c r="AL22" i="2"/>
  <c r="AL21" i="2"/>
  <c r="AL20" i="2"/>
  <c r="AL19" i="2"/>
  <c r="AL18" i="2"/>
  <c r="AL17" i="2"/>
  <c r="AL16" i="2"/>
  <c r="AL15" i="2"/>
  <c r="AL14" i="2"/>
  <c r="AL13" i="2"/>
  <c r="AL12" i="2"/>
  <c r="BD11" i="2"/>
  <c r="AL11" i="2"/>
  <c r="AL10" i="2"/>
  <c r="AL9" i="2"/>
  <c r="AL8" i="2"/>
  <c r="U5" i="2"/>
  <c r="H4" i="2"/>
  <c r="M3" i="2"/>
  <c r="F3" i="2"/>
  <c r="G2" i="2" s="1"/>
  <c r="M2" i="2"/>
  <c r="F2" i="2"/>
  <c r="F4" i="2" l="1"/>
  <c r="H2" i="2" s="1"/>
  <c r="M4" i="2"/>
  <c r="AL36" i="2"/>
  <c r="AL37" i="2" s="1"/>
  <c r="AJ39" i="2" s="1"/>
  <c r="AL39" i="2" l="1"/>
  <c r="AQ10" i="2"/>
  <c r="BD9" i="2" s="1"/>
  <c r="BD10" i="2" s="1"/>
  <c r="BD12" i="2" s="1"/>
  <c r="AQ16" i="2" s="1"/>
</calcChain>
</file>

<file path=xl/sharedStrings.xml><?xml version="1.0" encoding="utf-8"?>
<sst xmlns="http://schemas.openxmlformats.org/spreadsheetml/2006/main" count="810" uniqueCount="90">
  <si>
    <t>CC</t>
  </si>
  <si>
    <t>Kamal</t>
  </si>
  <si>
    <t>Total</t>
  </si>
  <si>
    <t>Total Completed</t>
  </si>
  <si>
    <t>Total Pending</t>
  </si>
  <si>
    <t>TASKS</t>
  </si>
  <si>
    <t>LINKS</t>
  </si>
  <si>
    <t>Other Products</t>
  </si>
  <si>
    <t>Findings</t>
  </si>
  <si>
    <t>MTD</t>
  </si>
  <si>
    <t>QUERIES</t>
  </si>
  <si>
    <t>OTHERQUERIES</t>
  </si>
  <si>
    <t>INCOMPLETEDOC</t>
  </si>
  <si>
    <t>SOA</t>
  </si>
  <si>
    <t>NO ANOMALY</t>
  </si>
  <si>
    <t>SAMPLING</t>
  </si>
  <si>
    <t>Assigned</t>
  </si>
  <si>
    <t>To Do List</t>
  </si>
  <si>
    <t>OPEN LYNC</t>
  </si>
  <si>
    <t>Send Lync</t>
  </si>
  <si>
    <t xml:space="preserve">43 results (5.07 seconds) </t>
  </si>
  <si>
    <t>KYC DOC ISSUE</t>
  </si>
  <si>
    <t>KYC</t>
  </si>
  <si>
    <t>SUSPEND</t>
  </si>
  <si>
    <t>GOOD</t>
  </si>
  <si>
    <t>DATA SAVING</t>
  </si>
  <si>
    <t>Completed</t>
  </si>
  <si>
    <t>CO DECLINE LIST</t>
  </si>
  <si>
    <t>Company Decline List</t>
  </si>
  <si>
    <t>SOA REF NO COUNT</t>
  </si>
  <si>
    <t>INCOME DOC ISSUE</t>
  </si>
  <si>
    <t>Statement</t>
  </si>
  <si>
    <t>NOT REQ</t>
  </si>
  <si>
    <t>SELECT CELL</t>
  </si>
  <si>
    <t>Pending</t>
  </si>
  <si>
    <t>MMDDYY</t>
  </si>
  <si>
    <t>Days Count</t>
  </si>
  <si>
    <t>OTHERS</t>
  </si>
  <si>
    <t>Application</t>
  </si>
  <si>
    <t>Cm Name</t>
  </si>
  <si>
    <t>Date</t>
  </si>
  <si>
    <t>Scheme</t>
  </si>
  <si>
    <t>Anomaly</t>
  </si>
  <si>
    <t>Notes/Bank Name</t>
  </si>
  <si>
    <t>Status</t>
  </si>
  <si>
    <t>App</t>
  </si>
  <si>
    <t>Notes</t>
  </si>
  <si>
    <t>Manager's Note</t>
  </si>
  <si>
    <t>Application No</t>
  </si>
  <si>
    <t>Product</t>
  </si>
  <si>
    <t>Fraud Type</t>
  </si>
  <si>
    <t>CV/EV</t>
  </si>
  <si>
    <t>DOC saved</t>
  </si>
  <si>
    <t>Link</t>
  </si>
  <si>
    <t>PP</t>
  </si>
  <si>
    <t>VISA</t>
  </si>
  <si>
    <t>EID</t>
  </si>
  <si>
    <t>INCOME</t>
  </si>
  <si>
    <t>Productivity</t>
  </si>
  <si>
    <t>OT hours</t>
  </si>
  <si>
    <t>Adjusted Score</t>
  </si>
  <si>
    <t>□</t>
  </si>
  <si>
    <t>Enter Your Current MTD</t>
  </si>
  <si>
    <t>No of Days Worked</t>
  </si>
  <si>
    <t>Remaining days</t>
  </si>
  <si>
    <t xml:space="preserve">You Need to score daily </t>
  </si>
  <si>
    <t>Total Score</t>
  </si>
  <si>
    <t>Current MTD :</t>
  </si>
  <si>
    <t>Target MTD :</t>
  </si>
  <si>
    <t>INCOMPLETE DOCUMENT</t>
  </si>
  <si>
    <t>Application Number</t>
  </si>
  <si>
    <t>Document Type</t>
  </si>
  <si>
    <t>Processor</t>
  </si>
  <si>
    <t>STATEMENT CONFIRMATION</t>
  </si>
  <si>
    <t>Bank Name</t>
  </si>
  <si>
    <t>BPM Suspend Status</t>
  </si>
  <si>
    <t>OTHER QUERIES</t>
  </si>
  <si>
    <t>Processor Name</t>
  </si>
  <si>
    <t>√</t>
  </si>
  <si>
    <t>Email Received</t>
  </si>
  <si>
    <t>Suresh</t>
  </si>
  <si>
    <t>Vipin</t>
  </si>
  <si>
    <t>Income Doc</t>
  </si>
  <si>
    <t>Anomaly Dependent</t>
  </si>
  <si>
    <t>IBAN</t>
  </si>
  <si>
    <t>Follow Up</t>
  </si>
  <si>
    <t xml:space="preserve">27 results (7.37 seconds) </t>
  </si>
  <si>
    <t>AE080530000027798891017</t>
  </si>
  <si>
    <t>Yes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</si>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</sst>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
    <numFmt numFmtId="165" formatCode="m/d/yyyy;@"/>
    <numFmt numFmtId="166" formatCode="0.0"/>
  </numFmts>
  <fonts count="37" x14ac:knownFonts="1">
    <font>
      <sz val="11"/>
      <color theme="1"/>
      <name val="Calibri"/>
      <family val="2"/>
      <scheme val="minor"/>
    </font>
    <font>
      <sz val="11"/>
      <color theme="1"/>
      <name val="Calibri"/>
      <family val="2"/>
      <scheme val="minor"/>
    </font>
    <font>
      <b/>
      <sz val="15"/>
      <color theme="3"/>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2"/>
      <color theme="0"/>
      <name val="Calibri"/>
      <family val="2"/>
      <scheme val="minor"/>
    </font>
    <font>
      <b/>
      <sz val="12"/>
      <color theme="1"/>
      <name val="Calibri"/>
      <family val="2"/>
      <scheme val="minor"/>
    </font>
    <font>
      <b/>
      <sz val="14"/>
      <color theme="0"/>
      <name val="Calibri Light"/>
      <family val="2"/>
      <scheme val="major"/>
    </font>
    <font>
      <b/>
      <sz val="20"/>
      <color theme="4" tint="-0.249977111117893"/>
      <name val="Calibri Light"/>
      <family val="2"/>
      <scheme val="major"/>
    </font>
    <font>
      <sz val="12"/>
      <name val="Calibri"/>
      <family val="2"/>
      <scheme val="minor"/>
    </font>
    <font>
      <b/>
      <sz val="14"/>
      <color theme="1"/>
      <name val="Calibri"/>
      <family val="2"/>
      <scheme val="minor"/>
    </font>
    <font>
      <sz val="10"/>
      <color theme="0" tint="-0.499984740745262"/>
      <name val="Calibri"/>
      <family val="2"/>
      <scheme val="minor"/>
    </font>
    <font>
      <u/>
      <sz val="10"/>
      <color indexed="12"/>
      <name val="Arial"/>
      <family val="2"/>
    </font>
    <font>
      <b/>
      <sz val="12"/>
      <color theme="0"/>
      <name val="Arial"/>
      <family val="2"/>
    </font>
    <font>
      <b/>
      <sz val="12"/>
      <color theme="7" tint="0.39997558519241921"/>
      <name val="Arial"/>
      <family val="2"/>
    </font>
    <font>
      <sz val="12"/>
      <color theme="1"/>
      <name val="Calibri"/>
      <family val="2"/>
      <scheme val="minor"/>
    </font>
    <font>
      <sz val="13"/>
      <color theme="1"/>
      <name val="Calibri"/>
      <family val="2"/>
      <scheme val="minor"/>
    </font>
    <font>
      <b/>
      <sz val="12"/>
      <color rgb="FFFF0000"/>
      <name val="Calibri"/>
      <family val="2"/>
      <scheme val="minor"/>
    </font>
    <font>
      <b/>
      <sz val="14"/>
      <color rgb="FF339966"/>
      <name val="Calibri"/>
      <family val="2"/>
    </font>
    <font>
      <sz val="11"/>
      <color rgb="FF000000"/>
      <name val="Calibri"/>
      <family val="2"/>
    </font>
    <font>
      <sz val="11"/>
      <color theme="3" tint="-0.249977111117893"/>
      <name val="Calibri"/>
      <family val="2"/>
      <scheme val="minor"/>
    </font>
    <font>
      <sz val="11"/>
      <color rgb="FFFF0000"/>
      <name val="Calibri"/>
      <family val="2"/>
    </font>
    <font>
      <sz val="11"/>
      <color rgb="FF00FF00"/>
      <name val="Calibri"/>
      <family val="2"/>
      <scheme val="minor"/>
    </font>
    <font>
      <sz val="13"/>
      <color rgb="FF00FF00"/>
      <name val="Calibri"/>
      <family val="2"/>
      <scheme val="minor"/>
    </font>
    <font>
      <sz val="11"/>
      <name val="Calibri"/>
      <family val="2"/>
      <scheme val="minor"/>
    </font>
    <font>
      <sz val="13"/>
      <name val="Calibri"/>
      <family val="2"/>
      <scheme val="minor"/>
    </font>
    <font>
      <sz val="11"/>
      <color rgb="FF000000"/>
      <name val="Calibri"/>
      <family val="2"/>
      <scheme val="minor"/>
    </font>
    <font>
      <sz val="13"/>
      <color theme="1"/>
      <name val="Wingdings"/>
      <charset val="2"/>
    </font>
    <font>
      <sz val="13"/>
      <color rgb="FFFF00FF"/>
      <name val="Calibri"/>
      <family val="2"/>
      <scheme val="minor"/>
    </font>
    <font>
      <sz val="11"/>
      <color rgb="FFFF00FF"/>
      <name val="Calibri"/>
      <family val="2"/>
      <scheme val="minor"/>
    </font>
    <font>
      <sz val="11"/>
      <color theme="0" tint="-0.499984740745262"/>
      <name val="Calibri"/>
      <family val="2"/>
      <scheme val="minor"/>
    </font>
    <font>
      <sz val="14"/>
      <color theme="1"/>
      <name val="Calibri"/>
      <family val="2"/>
      <scheme val="minor"/>
    </font>
    <font>
      <sz val="14"/>
      <name val="Calibri"/>
      <family val="2"/>
      <scheme val="minor"/>
    </font>
    <font>
      <sz val="14"/>
      <color rgb="FF000000"/>
      <name val="Calibri"/>
      <family val="2"/>
    </font>
    <font>
      <sz val="14"/>
      <name val="Calibri"/>
      <family val="2"/>
    </font>
    <font>
      <sz val="14"/>
      <color rgb="FF00FF00"/>
      <name val="Calibri"/>
      <family val="2"/>
      <scheme val="minor"/>
    </font>
  </fonts>
  <fills count="19">
    <fill>
      <patternFill patternType="none"/>
    </fill>
    <fill>
      <patternFill patternType="gray125"/>
    </fill>
    <fill>
      <patternFill patternType="solid">
        <fgColor theme="4" tint="0.79998168889431442"/>
        <bgColor indexed="65"/>
      </patternFill>
    </fill>
    <fill>
      <patternFill patternType="solid">
        <fgColor theme="4" tint="-0.249977111117893"/>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1" tint="4.9989318521683403E-2"/>
        <bgColor indexed="64"/>
      </patternFill>
    </fill>
    <fill>
      <patternFill patternType="solid">
        <fgColor theme="3" tint="-0.499984740745262"/>
        <bgColor theme="4"/>
      </patternFill>
    </fill>
    <fill>
      <patternFill patternType="solid">
        <fgColor theme="0" tint="-4.9989318521683403E-2"/>
        <bgColor indexed="64"/>
      </patternFill>
    </fill>
    <fill>
      <patternFill patternType="solid">
        <fgColor theme="8" tint="-0.249977111117893"/>
        <bgColor indexed="64"/>
      </patternFill>
    </fill>
    <fill>
      <patternFill patternType="solid">
        <fgColor theme="1"/>
        <bgColor indexed="64"/>
      </patternFill>
    </fill>
    <fill>
      <patternFill patternType="solid">
        <fgColor theme="2" tint="-0.89999084444715716"/>
        <bgColor indexed="64"/>
      </patternFill>
    </fill>
    <fill>
      <patternFill patternType="solid">
        <fgColor rgb="FFFFC000"/>
        <bgColor indexed="64"/>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3" tint="-0.249977111117893"/>
        <bgColor indexed="64"/>
      </patternFill>
    </fill>
  </fills>
  <borders count="53">
    <border>
      <left/>
      <right/>
      <top/>
      <bottom/>
      <diagonal/>
    </border>
    <border>
      <left/>
      <right/>
      <top/>
      <bottom style="thick">
        <color theme="4"/>
      </bottom>
      <diagonal/>
    </border>
    <border>
      <left/>
      <right/>
      <top style="thin">
        <color theme="4" tint="0.39997558519241921"/>
      </top>
      <bottom/>
      <diagonal/>
    </border>
    <border>
      <left style="slantDashDot">
        <color theme="4"/>
      </left>
      <right style="slantDashDot">
        <color theme="4"/>
      </right>
      <top style="slantDashDot">
        <color theme="4"/>
      </top>
      <bottom style="slantDashDot">
        <color theme="4"/>
      </bottom>
      <diagonal/>
    </border>
    <border>
      <left style="thin">
        <color indexed="64"/>
      </left>
      <right style="thin">
        <color indexed="64"/>
      </right>
      <top style="thin">
        <color indexed="64"/>
      </top>
      <bottom style="thin">
        <color indexed="64"/>
      </bottom>
      <diagonal/>
    </border>
    <border>
      <left style="slantDashDot">
        <color theme="4"/>
      </left>
      <right style="thin">
        <color indexed="64"/>
      </right>
      <top/>
      <bottom/>
      <diagonal/>
    </border>
    <border>
      <left/>
      <right/>
      <top/>
      <bottom style="medium">
        <color theme="4"/>
      </bottom>
      <diagonal/>
    </border>
    <border>
      <left style="slantDashDot">
        <color theme="4"/>
      </left>
      <right style="medium">
        <color theme="4"/>
      </right>
      <top/>
      <bottom/>
      <diagonal/>
    </border>
    <border>
      <left style="medium">
        <color theme="4"/>
      </left>
      <right style="medium">
        <color theme="4"/>
      </right>
      <top style="medium">
        <color theme="4"/>
      </top>
      <bottom style="medium">
        <color theme="4"/>
      </bottom>
      <diagonal/>
    </border>
    <border>
      <left/>
      <right style="slantDashDot">
        <color theme="4"/>
      </right>
      <top/>
      <bottom/>
      <diagonal/>
    </border>
    <border>
      <left/>
      <right style="thin">
        <color theme="4" tint="0.39997558519241921"/>
      </right>
      <top style="thin">
        <color theme="4" tint="0.39997558519241921"/>
      </top>
      <bottom/>
      <diagonal/>
    </border>
    <border>
      <left style="thin">
        <color theme="0"/>
      </left>
      <right style="thin">
        <color theme="8"/>
      </right>
      <top style="thin">
        <color theme="8"/>
      </top>
      <bottom/>
      <diagonal/>
    </border>
    <border>
      <left style="thin">
        <color theme="8"/>
      </left>
      <right/>
      <top style="thin">
        <color theme="4"/>
      </top>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theme="4" tint="-0.249977111117893"/>
      </left>
      <right style="thin">
        <color theme="4" tint="-0.249977111117893"/>
      </right>
      <top style="thick">
        <color indexed="64"/>
      </top>
      <bottom/>
      <diagonal/>
    </border>
    <border>
      <left style="thin">
        <color theme="4" tint="-0.249977111117893"/>
      </left>
      <right/>
      <top style="thick">
        <color indexed="64"/>
      </top>
      <bottom/>
      <diagonal/>
    </border>
    <border>
      <left style="thick">
        <color indexed="64"/>
      </left>
      <right/>
      <top style="thick">
        <color indexed="64"/>
      </top>
      <bottom style="thick">
        <color indexed="64"/>
      </bottom>
      <diagonal/>
    </border>
    <border>
      <left style="thin">
        <color theme="4" tint="-0.249977111117893"/>
      </left>
      <right style="thin">
        <color theme="4" tint="-0.249977111117893"/>
      </right>
      <top style="thick">
        <color indexed="64"/>
      </top>
      <bottom style="thick">
        <color indexed="64"/>
      </bottom>
      <diagonal/>
    </border>
    <border>
      <left style="thin">
        <color theme="4" tint="-0.249977111117893"/>
      </left>
      <right/>
      <top style="thick">
        <color indexed="64"/>
      </top>
      <bottom style="thick">
        <color indexed="64"/>
      </bottom>
      <diagonal/>
    </border>
    <border>
      <left style="thin">
        <color theme="4" tint="-0.249977111117893"/>
      </left>
      <right style="thin">
        <color theme="4" tint="-0.249977111117893"/>
      </right>
      <top/>
      <bottom/>
      <diagonal/>
    </border>
    <border>
      <left style="thin">
        <color theme="4" tint="-0.249977111117893"/>
      </left>
      <right/>
      <top/>
      <bottom/>
      <diagonal/>
    </border>
    <border>
      <left/>
      <right style="thin">
        <color indexed="64"/>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0"/>
      </left>
      <right/>
      <top style="thin">
        <color theme="4"/>
      </top>
      <bottom/>
      <diagonal/>
    </border>
    <border>
      <left style="thin">
        <color theme="0"/>
      </left>
      <right/>
      <top style="thin">
        <color theme="8"/>
      </top>
      <bottom/>
      <diagonal/>
    </border>
    <border>
      <left style="thin">
        <color indexed="64"/>
      </left>
      <right/>
      <top style="thin">
        <color indexed="64"/>
      </top>
      <bottom style="thin">
        <color indexed="64"/>
      </bottom>
      <diagonal/>
    </border>
  </borders>
  <cellStyleXfs count="4">
    <xf numFmtId="0" fontId="0" fillId="0" borderId="0"/>
    <xf numFmtId="0" fontId="2" fillId="0" borderId="1" applyNumberFormat="0" applyFill="0" applyAlignment="0" applyProtection="0"/>
    <xf numFmtId="0" fontId="1" fillId="2" borderId="0" applyNumberFormat="0" applyBorder="0" applyAlignment="0" applyProtection="0"/>
    <xf numFmtId="0" fontId="13" fillId="0" borderId="0" applyNumberFormat="0" applyFill="0" applyBorder="0" applyAlignment="0" applyProtection="0">
      <alignment vertical="top"/>
      <protection locked="0"/>
    </xf>
  </cellStyleXfs>
  <cellXfs count="230">
    <xf numFmtId="0" fontId="0" fillId="0" borderId="0" xfId="0"/>
    <xf numFmtId="0" fontId="6" fillId="3" borderId="2" xfId="0" applyFont="1" applyFill="1" applyBorder="1" applyAlignment="1">
      <alignment horizontal="center"/>
    </xf>
    <xf numFmtId="0" fontId="0" fillId="4" borderId="0" xfId="0" applyFill="1"/>
    <xf numFmtId="0" fontId="0" fillId="4" borderId="0" xfId="0" applyFill="1" applyAlignment="1">
      <alignment wrapText="1"/>
    </xf>
    <xf numFmtId="0" fontId="3" fillId="3" borderId="3" xfId="0" applyFont="1" applyFill="1" applyBorder="1"/>
    <xf numFmtId="0" fontId="3" fillId="3" borderId="3" xfId="0" applyFont="1" applyFill="1" applyBorder="1" applyAlignment="1">
      <alignment wrapText="1"/>
    </xf>
    <xf numFmtId="0" fontId="7" fillId="4" borderId="1" xfId="1" applyFont="1" applyFill="1"/>
    <xf numFmtId="0" fontId="6" fillId="5" borderId="4" xfId="0" applyNumberFormat="1" applyFont="1" applyFill="1" applyBorder="1" applyAlignment="1">
      <alignment horizontal="center"/>
    </xf>
    <xf numFmtId="0" fontId="8" fillId="6" borderId="4" xfId="0" applyFont="1" applyFill="1" applyBorder="1" applyAlignment="1">
      <alignment horizontal="center" vertical="center"/>
    </xf>
    <xf numFmtId="164" fontId="0" fillId="4" borderId="0" xfId="0" applyNumberFormat="1" applyFill="1"/>
    <xf numFmtId="0" fontId="6" fillId="7" borderId="4" xfId="0" applyNumberFormat="1" applyFont="1" applyFill="1" applyBorder="1" applyAlignment="1">
      <alignment horizontal="left"/>
    </xf>
    <xf numFmtId="0" fontId="6" fillId="7" borderId="4" xfId="0" applyNumberFormat="1" applyFont="1" applyFill="1" applyBorder="1" applyAlignment="1">
      <alignment horizontal="center"/>
    </xf>
    <xf numFmtId="0" fontId="0" fillId="4" borderId="0" xfId="0" applyFill="1" applyAlignment="1">
      <alignment horizontal="center"/>
    </xf>
    <xf numFmtId="164" fontId="0" fillId="4" borderId="0" xfId="0" applyNumberFormat="1" applyFill="1" applyAlignment="1">
      <alignment horizontal="center"/>
    </xf>
    <xf numFmtId="0" fontId="9" fillId="4" borderId="0" xfId="0" applyFont="1" applyFill="1" applyAlignment="1">
      <alignment horizontal="left"/>
    </xf>
    <xf numFmtId="0" fontId="0" fillId="0" borderId="0" xfId="0" applyFill="1"/>
    <xf numFmtId="0" fontId="10" fillId="4" borderId="0" xfId="0" applyNumberFormat="1" applyFont="1" applyFill="1"/>
    <xf numFmtId="0" fontId="0" fillId="8" borderId="3" xfId="0" applyFill="1" applyBorder="1"/>
    <xf numFmtId="0" fontId="0" fillId="8" borderId="3" xfId="0" applyFill="1" applyBorder="1" applyAlignment="1">
      <alignment horizontal="center" wrapText="1"/>
    </xf>
    <xf numFmtId="0" fontId="11" fillId="0" borderId="0" xfId="2" applyFont="1" applyFill="1" applyAlignment="1">
      <alignment horizontal="center"/>
    </xf>
    <xf numFmtId="0" fontId="0" fillId="8" borderId="3" xfId="0" applyFill="1" applyBorder="1" applyAlignment="1">
      <alignment horizontal="center"/>
    </xf>
    <xf numFmtId="0" fontId="12" fillId="4" borderId="5" xfId="0" applyFont="1" applyFill="1" applyBorder="1" applyAlignment="1">
      <alignment horizontal="right"/>
    </xf>
    <xf numFmtId="0" fontId="14" fillId="9" borderId="4" xfId="3" applyNumberFormat="1" applyFont="1" applyFill="1" applyBorder="1" applyAlignment="1" applyProtection="1">
      <alignment horizontal="center" vertical="center"/>
    </xf>
    <xf numFmtId="0" fontId="6" fillId="10" borderId="4" xfId="0" applyNumberFormat="1" applyFont="1" applyFill="1" applyBorder="1" applyAlignment="1">
      <alignment horizontal="center"/>
    </xf>
    <xf numFmtId="0" fontId="0" fillId="4" borderId="6" xfId="0" applyFill="1" applyBorder="1"/>
    <xf numFmtId="0" fontId="12" fillId="4" borderId="0" xfId="0" applyFont="1" applyFill="1" applyAlignment="1">
      <alignment horizontal="right"/>
    </xf>
    <xf numFmtId="164" fontId="0" fillId="4" borderId="0" xfId="0" applyNumberFormat="1" applyFill="1" applyProtection="1"/>
    <xf numFmtId="1" fontId="14" fillId="9" borderId="4" xfId="3" applyNumberFormat="1" applyFont="1" applyFill="1" applyBorder="1" applyAlignment="1" applyProtection="1">
      <alignment horizontal="left" vertical="center"/>
    </xf>
    <xf numFmtId="1" fontId="15" fillId="9" borderId="4" xfId="3" applyNumberFormat="1" applyFont="1" applyFill="1" applyBorder="1" applyAlignment="1" applyProtection="1">
      <alignment horizontal="center" vertical="center"/>
    </xf>
    <xf numFmtId="22" fontId="0" fillId="4" borderId="0" xfId="0" applyNumberFormat="1" applyFill="1"/>
    <xf numFmtId="16" fontId="10" fillId="4" borderId="0" xfId="0" applyNumberFormat="1" applyFont="1" applyFill="1"/>
    <xf numFmtId="0" fontId="12" fillId="4" borderId="0" xfId="0" applyFont="1" applyFill="1" applyAlignment="1">
      <alignment horizontal="center"/>
    </xf>
    <xf numFmtId="0" fontId="16" fillId="4" borderId="7" xfId="0" applyFont="1" applyFill="1" applyBorder="1"/>
    <xf numFmtId="0" fontId="11" fillId="8" borderId="8" xfId="2" applyFont="1" applyFill="1" applyBorder="1" applyAlignment="1">
      <alignment horizontal="center"/>
    </xf>
    <xf numFmtId="0" fontId="0" fillId="4" borderId="0" xfId="0" applyFill="1" applyBorder="1"/>
    <xf numFmtId="0" fontId="9" fillId="4" borderId="9" xfId="0" applyFont="1" applyFill="1" applyBorder="1" applyAlignment="1">
      <alignment horizontal="left"/>
    </xf>
    <xf numFmtId="0" fontId="0" fillId="4" borderId="0" xfId="0" applyNumberFormat="1" applyFill="1" applyProtection="1"/>
    <xf numFmtId="0" fontId="0" fillId="4" borderId="0" xfId="0" applyNumberFormat="1" applyFill="1"/>
    <xf numFmtId="165" fontId="15" fillId="9" borderId="4" xfId="3" applyNumberFormat="1" applyFont="1" applyFill="1" applyBorder="1" applyAlignment="1" applyProtection="1">
      <alignment horizontal="center" vertical="center"/>
    </xf>
    <xf numFmtId="0" fontId="16" fillId="4" borderId="0" xfId="0" applyFont="1" applyFill="1"/>
    <xf numFmtId="0" fontId="6" fillId="3" borderId="2" xfId="0" applyFont="1" applyFill="1" applyBorder="1" applyAlignment="1">
      <alignment horizontal="center" wrapText="1"/>
    </xf>
    <xf numFmtId="0" fontId="6" fillId="3" borderId="2" xfId="0" applyFont="1" applyFill="1" applyBorder="1" applyAlignment="1">
      <alignment horizontal="left"/>
    </xf>
    <xf numFmtId="0" fontId="6" fillId="3" borderId="10" xfId="0" applyFont="1" applyFill="1" applyBorder="1" applyAlignment="1">
      <alignment horizontal="center"/>
    </xf>
    <xf numFmtId="0" fontId="4" fillId="4" borderId="0" xfId="0" applyFont="1" applyFill="1"/>
    <xf numFmtId="0" fontId="6" fillId="7" borderId="11" xfId="0" applyFont="1" applyFill="1" applyBorder="1" applyAlignment="1">
      <alignment horizontal="center"/>
    </xf>
    <xf numFmtId="164" fontId="6" fillId="7" borderId="11" xfId="0" applyNumberFormat="1" applyFont="1" applyFill="1" applyBorder="1" applyAlignment="1">
      <alignment horizontal="center"/>
    </xf>
    <xf numFmtId="0" fontId="6" fillId="11" borderId="12" xfId="0" applyFont="1" applyFill="1" applyBorder="1" applyAlignment="1">
      <alignment horizontal="left" vertical="center" indent="1"/>
    </xf>
    <xf numFmtId="0" fontId="0" fillId="12" borderId="4" xfId="0" applyFill="1" applyBorder="1"/>
    <xf numFmtId="0" fontId="0" fillId="0" borderId="0" xfId="0" applyProtection="1"/>
    <xf numFmtId="0" fontId="17" fillId="0" borderId="4" xfId="0" applyFont="1" applyFill="1" applyBorder="1" applyAlignment="1">
      <alignment wrapText="1"/>
    </xf>
    <xf numFmtId="0" fontId="17" fillId="0" borderId="4" xfId="0" applyFont="1" applyFill="1" applyBorder="1"/>
    <xf numFmtId="0" fontId="0" fillId="13" borderId="0" xfId="0" applyFill="1"/>
    <xf numFmtId="0" fontId="1" fillId="0" borderId="4" xfId="2" applyNumberFormat="1" applyFill="1" applyBorder="1" applyAlignment="1">
      <alignment horizontal="center"/>
    </xf>
    <xf numFmtId="0" fontId="1" fillId="0" borderId="4" xfId="2" applyFill="1" applyBorder="1" applyAlignment="1">
      <alignment horizontal="center"/>
    </xf>
    <xf numFmtId="164" fontId="1" fillId="0" borderId="4" xfId="2" applyNumberFormat="1" applyFill="1" applyBorder="1" applyAlignment="1">
      <alignment horizontal="center"/>
    </xf>
    <xf numFmtId="0" fontId="0" fillId="8" borderId="0" xfId="0" applyFill="1"/>
    <xf numFmtId="0" fontId="0" fillId="0" borderId="4" xfId="0" applyBorder="1" applyAlignment="1" applyProtection="1">
      <alignment horizontal="center"/>
      <protection locked="0"/>
    </xf>
    <xf numFmtId="166" fontId="0" fillId="0" borderId="4" xfId="0" applyNumberFormat="1" applyBorder="1" applyAlignment="1" applyProtection="1">
      <alignment horizontal="center"/>
    </xf>
    <xf numFmtId="166" fontId="0" fillId="0" borderId="0" xfId="0" applyNumberFormat="1"/>
    <xf numFmtId="166" fontId="7" fillId="0" borderId="17" xfId="0" applyNumberFormat="1" applyFont="1" applyBorder="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7" fillId="0" borderId="17" xfId="0" applyFont="1" applyBorder="1" applyAlignment="1" applyProtection="1">
      <alignment horizontal="center"/>
      <protection locked="0"/>
    </xf>
    <xf numFmtId="0" fontId="0" fillId="0" borderId="4" xfId="2" applyFont="1" applyFill="1" applyBorder="1" applyAlignment="1">
      <alignment horizontal="center"/>
    </xf>
    <xf numFmtId="0" fontId="18" fillId="0" borderId="17" xfId="0" applyFont="1" applyBorder="1" applyAlignment="1" applyProtection="1">
      <alignment horizontal="center"/>
      <protection locked="0"/>
    </xf>
    <xf numFmtId="0" fontId="0" fillId="0" borderId="19" xfId="0" applyBorder="1" applyAlignment="1" applyProtection="1">
      <alignment horizontal="center"/>
      <protection locked="0"/>
    </xf>
    <xf numFmtId="166" fontId="0" fillId="15" borderId="22" xfId="0" applyNumberFormat="1" applyFill="1" applyBorder="1" applyAlignment="1">
      <alignment horizontal="center"/>
    </xf>
    <xf numFmtId="166" fontId="0" fillId="0" borderId="22" xfId="0" applyNumberFormat="1" applyFill="1" applyBorder="1" applyAlignment="1">
      <alignment horizontal="center"/>
    </xf>
    <xf numFmtId="166" fontId="0" fillId="0" borderId="22" xfId="0" applyNumberFormat="1" applyBorder="1" applyAlignment="1">
      <alignment horizontal="center"/>
    </xf>
    <xf numFmtId="0" fontId="0" fillId="13" borderId="0" xfId="0" applyFill="1" applyBorder="1" applyAlignment="1"/>
    <xf numFmtId="0" fontId="0" fillId="13" borderId="29" xfId="0" applyFill="1" applyBorder="1" applyAlignment="1"/>
    <xf numFmtId="0" fontId="0" fillId="13" borderId="30" xfId="0" applyFill="1" applyBorder="1" applyAlignment="1"/>
    <xf numFmtId="0" fontId="0" fillId="13" borderId="31" xfId="0" applyFill="1" applyBorder="1" applyAlignment="1"/>
    <xf numFmtId="0" fontId="0" fillId="13" borderId="27" xfId="0" applyFill="1" applyBorder="1"/>
    <xf numFmtId="0" fontId="0" fillId="13" borderId="32" xfId="0" applyFill="1" applyBorder="1" applyAlignment="1"/>
    <xf numFmtId="0" fontId="0" fillId="13" borderId="33" xfId="0" applyFill="1" applyBorder="1" applyAlignment="1"/>
    <xf numFmtId="0" fontId="0" fillId="13" borderId="34" xfId="0" applyFill="1" applyBorder="1" applyAlignment="1"/>
    <xf numFmtId="0" fontId="0" fillId="13" borderId="33" xfId="0" applyFill="1" applyBorder="1"/>
    <xf numFmtId="0" fontId="0" fillId="13" borderId="0" xfId="0" applyFill="1" applyBorder="1"/>
    <xf numFmtId="14" fontId="0" fillId="0" borderId="0" xfId="0" applyNumberFormat="1"/>
    <xf numFmtId="0" fontId="5" fillId="17" borderId="17" xfId="0" applyFont="1" applyFill="1" applyBorder="1" applyAlignment="1">
      <alignment horizontal="center" vertical="center"/>
    </xf>
    <xf numFmtId="0" fontId="5" fillId="13" borderId="17" xfId="0" applyFont="1" applyFill="1" applyBorder="1" applyAlignment="1">
      <alignment horizontal="center" vertical="center"/>
    </xf>
    <xf numFmtId="14" fontId="0" fillId="13" borderId="0" xfId="0" applyNumberFormat="1" applyFill="1" applyBorder="1" applyAlignment="1"/>
    <xf numFmtId="0" fontId="5" fillId="17" borderId="29" xfId="0" applyFont="1" applyFill="1" applyBorder="1" applyAlignment="1">
      <alignment horizontal="center" vertical="center"/>
    </xf>
    <xf numFmtId="14" fontId="5" fillId="17" borderId="32" xfId="0" applyNumberFormat="1" applyFont="1" applyFill="1" applyBorder="1" applyAlignment="1">
      <alignment horizontal="center" vertical="center"/>
    </xf>
    <xf numFmtId="0" fontId="0" fillId="0" borderId="4" xfId="0" applyBorder="1"/>
    <xf numFmtId="0" fontId="0" fillId="13" borderId="38" xfId="0" applyFill="1" applyBorder="1" applyAlignment="1"/>
    <xf numFmtId="0" fontId="0" fillId="13" borderId="39" xfId="0" applyFill="1" applyBorder="1" applyAlignment="1"/>
    <xf numFmtId="0" fontId="0" fillId="13" borderId="40" xfId="0" applyFill="1" applyBorder="1"/>
    <xf numFmtId="0" fontId="0" fillId="18" borderId="29" xfId="0" applyFill="1" applyBorder="1" applyAlignment="1"/>
    <xf numFmtId="0" fontId="0" fillId="18" borderId="30" xfId="0" applyFill="1" applyBorder="1" applyAlignment="1"/>
    <xf numFmtId="0" fontId="0" fillId="18" borderId="31" xfId="0" applyFill="1" applyBorder="1" applyAlignment="1"/>
    <xf numFmtId="0" fontId="0" fillId="18" borderId="34" xfId="0" applyFill="1" applyBorder="1" applyAlignment="1"/>
    <xf numFmtId="0" fontId="0" fillId="18" borderId="0" xfId="0" applyFill="1" applyBorder="1" applyAlignment="1"/>
    <xf numFmtId="0" fontId="0" fillId="18" borderId="33" xfId="0" applyFill="1" applyBorder="1" applyAlignment="1"/>
    <xf numFmtId="0" fontId="0" fillId="18" borderId="38" xfId="0" applyFill="1" applyBorder="1" applyAlignment="1"/>
    <xf numFmtId="0" fontId="0" fillId="18" borderId="39" xfId="0" applyFill="1" applyBorder="1" applyAlignment="1"/>
    <xf numFmtId="0" fontId="0" fillId="18" borderId="40" xfId="0" applyFill="1" applyBorder="1" applyAlignment="1"/>
    <xf numFmtId="0" fontId="0" fillId="13" borderId="49" xfId="0" applyFill="1" applyBorder="1" applyAlignment="1"/>
    <xf numFmtId="0" fontId="0" fillId="13" borderId="4" xfId="0" applyFont="1" applyFill="1" applyBorder="1" applyAlignment="1">
      <alignment horizontal="center"/>
    </xf>
    <xf numFmtId="0" fontId="0" fillId="13" borderId="4" xfId="0" applyFill="1" applyBorder="1"/>
    <xf numFmtId="0" fontId="0" fillId="13" borderId="4" xfId="0" applyFill="1" applyBorder="1" applyAlignment="1">
      <alignment horizontal="left"/>
    </xf>
    <xf numFmtId="0" fontId="21" fillId="13" borderId="4" xfId="0" applyFont="1" applyFill="1" applyBorder="1"/>
    <xf numFmtId="0" fontId="0" fillId="13" borderId="4" xfId="0" applyFont="1" applyFill="1" applyBorder="1"/>
    <xf numFmtId="0" fontId="0" fillId="13" borderId="13" xfId="0" applyFill="1" applyBorder="1"/>
    <xf numFmtId="0" fontId="4" fillId="13" borderId="4" xfId="0" applyFont="1" applyFill="1" applyBorder="1"/>
    <xf numFmtId="22" fontId="4" fillId="13" borderId="4" xfId="0" applyNumberFormat="1" applyFont="1" applyFill="1" applyBorder="1"/>
    <xf numFmtId="0" fontId="22" fillId="13" borderId="4" xfId="0" applyFont="1" applyFill="1" applyBorder="1" applyAlignment="1">
      <alignment vertical="center"/>
    </xf>
    <xf numFmtId="0" fontId="4" fillId="13" borderId="4" xfId="0" applyFont="1" applyFill="1" applyBorder="1" applyAlignment="1">
      <alignment horizontal="center"/>
    </xf>
    <xf numFmtId="22" fontId="4" fillId="13" borderId="4" xfId="0" applyNumberFormat="1" applyFont="1" applyFill="1" applyBorder="1" applyAlignment="1">
      <alignment horizontal="center"/>
    </xf>
    <xf numFmtId="0" fontId="0" fillId="13" borderId="4" xfId="0" applyFill="1" applyBorder="1" applyAlignment="1">
      <alignment horizontal="center"/>
    </xf>
    <xf numFmtId="22" fontId="0" fillId="13" borderId="4" xfId="0" applyNumberFormat="1" applyFill="1" applyBorder="1" applyAlignment="1">
      <alignment horizontal="center"/>
    </xf>
    <xf numFmtId="0" fontId="0" fillId="13" borderId="28" xfId="0" applyFill="1" applyBorder="1"/>
    <xf numFmtId="0" fontId="0" fillId="0" borderId="0" xfId="0" applyBorder="1"/>
    <xf numFmtId="0" fontId="6" fillId="5" borderId="18" xfId="0" applyNumberFormat="1" applyFont="1" applyFill="1" applyBorder="1" applyAlignment="1">
      <alignment horizontal="center"/>
    </xf>
    <xf numFmtId="164" fontId="6" fillId="5" borderId="19" xfId="0" applyNumberFormat="1" applyFont="1" applyFill="1" applyBorder="1" applyAlignment="1">
      <alignment horizontal="center"/>
    </xf>
    <xf numFmtId="0" fontId="0" fillId="14" borderId="18" xfId="2" applyNumberFormat="1" applyFont="1" applyFill="1" applyBorder="1" applyAlignment="1">
      <alignment horizontal="center"/>
    </xf>
    <xf numFmtId="165" fontId="17" fillId="14" borderId="19" xfId="2" applyNumberFormat="1" applyFont="1" applyFill="1" applyBorder="1" applyAlignment="1">
      <alignment horizontal="center"/>
    </xf>
    <xf numFmtId="0" fontId="6" fillId="11" borderId="50" xfId="0" applyFont="1" applyFill="1" applyBorder="1" applyAlignment="1">
      <alignment horizontal="left" vertical="center" indent="1"/>
    </xf>
    <xf numFmtId="0" fontId="6" fillId="11" borderId="51" xfId="0" applyFont="1" applyFill="1" applyBorder="1" applyAlignment="1">
      <alignment horizontal="left" vertical="center" indent="1"/>
    </xf>
    <xf numFmtId="0" fontId="6" fillId="11" borderId="11" xfId="0" applyFont="1" applyFill="1" applyBorder="1" applyAlignment="1">
      <alignment horizontal="left" vertical="center" indent="1"/>
    </xf>
    <xf numFmtId="0" fontId="0" fillId="14" borderId="18" xfId="2" applyFont="1" applyFill="1" applyBorder="1"/>
    <xf numFmtId="22" fontId="0" fillId="14" borderId="18" xfId="2" applyNumberFormat="1" applyFont="1" applyFill="1" applyBorder="1"/>
    <xf numFmtId="0" fontId="0" fillId="14" borderId="19" xfId="2" applyFont="1" applyFill="1" applyBorder="1"/>
    <xf numFmtId="14" fontId="17" fillId="0" borderId="4" xfId="0" applyNumberFormat="1" applyFont="1" applyFill="1" applyBorder="1"/>
    <xf numFmtId="0" fontId="17" fillId="8" borderId="18" xfId="2" applyNumberFormat="1" applyFont="1" applyFill="1" applyBorder="1" applyAlignment="1">
      <alignment horizontal="center"/>
    </xf>
    <xf numFmtId="0" fontId="17" fillId="8" borderId="18" xfId="2" applyNumberFormat="1" applyFont="1" applyFill="1" applyBorder="1" applyAlignment="1">
      <alignment horizontal="center" wrapText="1"/>
    </xf>
    <xf numFmtId="0" fontId="17" fillId="0" borderId="4" xfId="0" applyFont="1" applyFill="1" applyBorder="1" applyProtection="1"/>
    <xf numFmtId="0" fontId="0" fillId="0" borderId="4" xfId="0" applyNumberFormat="1" applyBorder="1" applyAlignment="1">
      <alignment horizontal="center"/>
    </xf>
    <xf numFmtId="0" fontId="24" fillId="8" borderId="18" xfId="2" applyNumberFormat="1" applyFont="1" applyFill="1" applyBorder="1" applyAlignment="1">
      <alignment horizontal="center"/>
    </xf>
    <xf numFmtId="0" fontId="24" fillId="8" borderId="18" xfId="2" applyNumberFormat="1" applyFont="1" applyFill="1" applyBorder="1" applyAlignment="1">
      <alignment horizontal="center" vertical="center"/>
    </xf>
    <xf numFmtId="0" fontId="26" fillId="0" borderId="4" xfId="0" applyFont="1" applyFill="1" applyBorder="1" applyAlignment="1">
      <alignment horizontal="center" wrapText="1"/>
    </xf>
    <xf numFmtId="0" fontId="13" fillId="0" borderId="0" xfId="3" applyFill="1" applyAlignment="1" applyProtection="1"/>
    <xf numFmtId="0" fontId="25" fillId="0" borderId="4" xfId="0" applyFont="1" applyFill="1" applyBorder="1"/>
    <xf numFmtId="0" fontId="0" fillId="0" borderId="4" xfId="0" applyFill="1" applyBorder="1"/>
    <xf numFmtId="0" fontId="26" fillId="0" borderId="4" xfId="0" applyFont="1" applyFill="1" applyBorder="1" applyAlignment="1">
      <alignment horizontal="center"/>
    </xf>
    <xf numFmtId="0" fontId="17" fillId="8" borderId="18" xfId="2" applyNumberFormat="1" applyFont="1" applyFill="1" applyBorder="1" applyAlignment="1">
      <alignment horizontal="left"/>
    </xf>
    <xf numFmtId="0" fontId="25" fillId="0" borderId="4" xfId="0" applyNumberFormat="1" applyFont="1" applyFill="1" applyBorder="1"/>
    <xf numFmtId="0" fontId="25" fillId="0" borderId="4" xfId="0" applyNumberFormat="1" applyFont="1" applyFill="1" applyBorder="1" applyAlignment="1">
      <alignment horizontal="center"/>
    </xf>
    <xf numFmtId="0" fontId="25" fillId="0" borderId="0" xfId="0" applyFont="1"/>
    <xf numFmtId="0" fontId="26" fillId="8" borderId="18" xfId="2" applyNumberFormat="1" applyFont="1" applyFill="1" applyBorder="1" applyAlignment="1">
      <alignment horizontal="center" vertical="center"/>
    </xf>
    <xf numFmtId="0" fontId="24" fillId="0" borderId="4" xfId="0" applyFont="1" applyFill="1" applyBorder="1" applyProtection="1"/>
    <xf numFmtId="0" fontId="23" fillId="0" borderId="4" xfId="0" applyNumberFormat="1" applyFont="1" applyFill="1" applyBorder="1" applyAlignment="1">
      <alignment horizontal="center"/>
    </xf>
    <xf numFmtId="0" fontId="23" fillId="0" borderId="4" xfId="0" applyNumberFormat="1" applyFont="1" applyBorder="1" applyAlignment="1">
      <alignment horizontal="center"/>
    </xf>
    <xf numFmtId="0" fontId="27" fillId="0" borderId="0" xfId="0" applyFont="1" applyFill="1"/>
    <xf numFmtId="0" fontId="26" fillId="8" borderId="18" xfId="2" applyFont="1" applyFill="1" applyBorder="1" applyAlignment="1">
      <alignment horizontal="center"/>
    </xf>
    <xf numFmtId="0" fontId="25" fillId="0" borderId="4" xfId="0" applyNumberFormat="1" applyFont="1" applyBorder="1" applyAlignment="1">
      <alignment horizontal="center"/>
    </xf>
    <xf numFmtId="0" fontId="25" fillId="0" borderId="0" xfId="0" applyFont="1" applyFill="1"/>
    <xf numFmtId="22" fontId="0" fillId="4" borderId="0" xfId="0" applyNumberFormat="1" applyFill="1" applyAlignment="1">
      <alignment wrapText="1"/>
    </xf>
    <xf numFmtId="0" fontId="28" fillId="8" borderId="18" xfId="2" applyNumberFormat="1" applyFont="1" applyFill="1" applyBorder="1" applyAlignment="1">
      <alignment horizontal="center"/>
    </xf>
    <xf numFmtId="0" fontId="0" fillId="14" borderId="52" xfId="2" applyNumberFormat="1" applyFont="1" applyFill="1" applyBorder="1" applyAlignment="1">
      <alignment horizontal="center"/>
    </xf>
    <xf numFmtId="0" fontId="26" fillId="8" borderId="52" xfId="2" applyNumberFormat="1" applyFont="1" applyFill="1" applyBorder="1" applyAlignment="1">
      <alignment horizontal="center" vertical="center"/>
    </xf>
    <xf numFmtId="0" fontId="17" fillId="8" borderId="52" xfId="2" applyNumberFormat="1" applyFont="1" applyFill="1" applyBorder="1" applyAlignment="1">
      <alignment horizontal="center"/>
    </xf>
    <xf numFmtId="0" fontId="28" fillId="8" borderId="52" xfId="2" applyNumberFormat="1" applyFont="1" applyFill="1" applyBorder="1" applyAlignment="1">
      <alignment horizontal="center"/>
    </xf>
    <xf numFmtId="165" fontId="17" fillId="14" borderId="4" xfId="2" applyNumberFormat="1" applyFont="1" applyFill="1" applyBorder="1" applyAlignment="1">
      <alignment horizontal="center"/>
    </xf>
    <xf numFmtId="0" fontId="0" fillId="13" borderId="49" xfId="0" applyFill="1" applyBorder="1"/>
    <xf numFmtId="0" fontId="0" fillId="8" borderId="49" xfId="0" applyFill="1" applyBorder="1"/>
    <xf numFmtId="0" fontId="0" fillId="14" borderId="52" xfId="2" applyFont="1" applyFill="1" applyBorder="1"/>
    <xf numFmtId="22" fontId="0" fillId="14" borderId="52" xfId="2" applyNumberFormat="1" applyFont="1" applyFill="1" applyBorder="1"/>
    <xf numFmtId="0" fontId="0" fillId="14" borderId="4" xfId="2" applyFont="1" applyFill="1" applyBorder="1"/>
    <xf numFmtId="0" fontId="29" fillId="8" borderId="18" xfId="2" applyNumberFormat="1" applyFont="1" applyFill="1" applyBorder="1" applyAlignment="1">
      <alignment horizontal="center" vertical="center"/>
    </xf>
    <xf numFmtId="0" fontId="30" fillId="0" borderId="4" xfId="0" applyFont="1" applyBorder="1" applyAlignment="1">
      <alignment horizontal="center" vertical="center"/>
    </xf>
    <xf numFmtId="21" fontId="0" fillId="13" borderId="0" xfId="0" applyNumberFormat="1" applyFill="1"/>
    <xf numFmtId="21" fontId="0" fillId="4" borderId="0" xfId="0" applyNumberFormat="1" applyFill="1" applyAlignment="1">
      <alignment wrapText="1"/>
    </xf>
    <xf numFmtId="0" fontId="15" fillId="9" borderId="4" xfId="3" applyNumberFormat="1" applyFont="1" applyFill="1" applyBorder="1" applyAlignment="1" applyProtection="1">
      <alignment horizontal="center" vertical="center"/>
    </xf>
    <xf numFmtId="0" fontId="11" fillId="4" borderId="0" xfId="0" applyFont="1" applyFill="1"/>
    <xf numFmtId="0" fontId="0" fillId="0" borderId="4" xfId="0" applyFill="1" applyBorder="1" applyAlignment="1">
      <alignment vertical="center"/>
    </xf>
    <xf numFmtId="0" fontId="25" fillId="0" borderId="4" xfId="0" applyNumberFormat="1" applyFont="1" applyFill="1" applyBorder="1" applyAlignment="1">
      <alignment vertical="center"/>
    </xf>
    <xf numFmtId="0" fontId="25" fillId="0" borderId="4" xfId="0" applyFont="1" applyBorder="1" applyAlignment="1">
      <alignment horizontal="center"/>
    </xf>
    <xf numFmtId="0" fontId="25" fillId="0" borderId="4" xfId="0" applyFont="1" applyFill="1" applyBorder="1" applyAlignment="1">
      <alignment horizontal="center"/>
    </xf>
    <xf numFmtId="0" fontId="30" fillId="0" borderId="4" xfId="0" applyNumberFormat="1" applyFont="1" applyFill="1" applyBorder="1" applyAlignment="1">
      <alignment horizontal="center"/>
    </xf>
    <xf numFmtId="0" fontId="30" fillId="0" borderId="4" xfId="0" applyNumberFormat="1" applyFont="1" applyBorder="1" applyAlignment="1">
      <alignment horizontal="center"/>
    </xf>
    <xf numFmtId="0" fontId="0" fillId="0" borderId="4" xfId="0" applyBorder="1" applyAlignment="1">
      <alignment horizontal="center"/>
    </xf>
    <xf numFmtId="0" fontId="31" fillId="4" borderId="0" xfId="0" applyFont="1" applyFill="1" applyAlignment="1">
      <alignment horizontal="center"/>
    </xf>
    <xf numFmtId="0" fontId="4" fillId="0" borderId="4" xfId="0" applyFont="1" applyBorder="1" applyAlignment="1">
      <alignment horizontal="center"/>
    </xf>
    <xf numFmtId="0" fontId="4" fillId="0" borderId="4" xfId="0" applyFont="1" applyBorder="1"/>
    <xf numFmtId="0" fontId="4" fillId="0" borderId="4" xfId="0" applyNumberFormat="1" applyFont="1" applyFill="1" applyBorder="1" applyAlignment="1">
      <alignment horizontal="center"/>
    </xf>
    <xf numFmtId="0" fontId="4" fillId="0" borderId="4" xfId="0" applyNumberFormat="1" applyFont="1" applyBorder="1" applyAlignment="1">
      <alignment horizontal="center"/>
    </xf>
    <xf numFmtId="0" fontId="32" fillId="0" borderId="4" xfId="0" applyFont="1" applyFill="1" applyBorder="1"/>
    <xf numFmtId="0" fontId="32" fillId="0" borderId="4" xfId="0" applyFont="1" applyFill="1" applyBorder="1" applyAlignment="1">
      <alignment horizontal="left"/>
    </xf>
    <xf numFmtId="0" fontId="33" fillId="0" borderId="4" xfId="0" applyNumberFormat="1" applyFont="1" applyFill="1" applyBorder="1" applyAlignment="1">
      <alignment horizontal="center"/>
    </xf>
    <xf numFmtId="0" fontId="33" fillId="0" borderId="4" xfId="0" applyFont="1" applyFill="1" applyBorder="1"/>
    <xf numFmtId="0" fontId="17" fillId="13" borderId="4" xfId="0" applyFont="1" applyFill="1" applyBorder="1"/>
    <xf numFmtId="0" fontId="32" fillId="13" borderId="4" xfId="0" applyFont="1" applyFill="1" applyBorder="1"/>
    <xf numFmtId="0" fontId="33" fillId="0" borderId="19" xfId="0" applyFont="1" applyFill="1" applyBorder="1"/>
    <xf numFmtId="0" fontId="32" fillId="0" borderId="19" xfId="0" applyFont="1" applyFill="1" applyBorder="1"/>
    <xf numFmtId="0" fontId="35" fillId="0" borderId="4" xfId="0" applyFont="1" applyFill="1" applyBorder="1" applyAlignment="1">
      <alignment horizontal="right" vertical="center"/>
    </xf>
    <xf numFmtId="0" fontId="34" fillId="0" borderId="4" xfId="0" applyFont="1" applyFill="1" applyBorder="1" applyAlignment="1">
      <alignment vertical="center"/>
    </xf>
    <xf numFmtId="0" fontId="0" fillId="0" borderId="4" xfId="0" applyNumberFormat="1" applyBorder="1"/>
    <xf numFmtId="0" fontId="5" fillId="12" borderId="14" xfId="0" applyFont="1" applyFill="1" applyBorder="1" applyAlignment="1">
      <alignment horizontal="center" vertical="center"/>
    </xf>
    <xf numFmtId="0" fontId="5" fillId="12" borderId="16" xfId="0" applyFont="1" applyFill="1" applyBorder="1" applyAlignment="1">
      <alignment horizontal="center" vertical="center"/>
    </xf>
    <xf numFmtId="0" fontId="0" fillId="16" borderId="30" xfId="0" applyFill="1" applyBorder="1" applyAlignment="1">
      <alignment horizontal="center"/>
    </xf>
    <xf numFmtId="0" fontId="0" fillId="16" borderId="31" xfId="0" applyFill="1" applyBorder="1" applyAlignment="1">
      <alignment horizontal="center"/>
    </xf>
    <xf numFmtId="0" fontId="0" fillId="16" borderId="0" xfId="0" applyFill="1" applyBorder="1" applyAlignment="1">
      <alignment horizontal="center"/>
    </xf>
    <xf numFmtId="0" fontId="0" fillId="16" borderId="33" xfId="0" applyFill="1" applyBorder="1" applyAlignment="1">
      <alignment horizontal="center"/>
    </xf>
    <xf numFmtId="0" fontId="0" fillId="16" borderId="39" xfId="0" applyFill="1" applyBorder="1" applyAlignment="1">
      <alignment horizontal="center"/>
    </xf>
    <xf numFmtId="0" fontId="0" fillId="16" borderId="40" xfId="0" applyFill="1" applyBorder="1" applyAlignment="1">
      <alignment horizontal="center"/>
    </xf>
    <xf numFmtId="0" fontId="5" fillId="12" borderId="35" xfId="0" applyFont="1" applyFill="1" applyBorder="1" applyAlignment="1">
      <alignment horizontal="center" vertical="center"/>
    </xf>
    <xf numFmtId="0" fontId="5" fillId="12" borderId="36" xfId="0" applyFont="1" applyFill="1" applyBorder="1" applyAlignment="1">
      <alignment horizontal="center" vertical="center"/>
    </xf>
    <xf numFmtId="0" fontId="5" fillId="12" borderId="37" xfId="0" applyFont="1" applyFill="1" applyBorder="1" applyAlignment="1">
      <alignment horizontal="center" vertical="center"/>
    </xf>
    <xf numFmtId="0" fontId="0" fillId="16" borderId="29" xfId="0" applyFill="1" applyBorder="1" applyAlignment="1">
      <alignment horizontal="center"/>
    </xf>
    <xf numFmtId="0" fontId="0" fillId="16" borderId="34" xfId="0" applyFill="1" applyBorder="1" applyAlignment="1">
      <alignment horizontal="center"/>
    </xf>
    <xf numFmtId="0" fontId="0" fillId="16" borderId="38" xfId="0" applyFill="1" applyBorder="1" applyAlignment="1">
      <alignment horizontal="center"/>
    </xf>
    <xf numFmtId="0" fontId="5" fillId="12" borderId="35" xfId="0" applyFont="1" applyFill="1" applyBorder="1" applyAlignment="1">
      <alignment horizontal="center"/>
    </xf>
    <xf numFmtId="0" fontId="5" fillId="12" borderId="36" xfId="0" applyFont="1" applyFill="1" applyBorder="1" applyAlignment="1">
      <alignment horizontal="center"/>
    </xf>
    <xf numFmtId="0" fontId="5" fillId="12" borderId="41" xfId="0" applyFont="1" applyFill="1" applyBorder="1" applyAlignment="1">
      <alignment horizontal="center"/>
    </xf>
    <xf numFmtId="0" fontId="0" fillId="16" borderId="42" xfId="0" applyFill="1" applyBorder="1" applyAlignment="1">
      <alignment horizontal="center"/>
    </xf>
    <xf numFmtId="0" fontId="0" fillId="16" borderId="43" xfId="0" applyFill="1" applyBorder="1" applyAlignment="1">
      <alignment horizontal="center"/>
    </xf>
    <xf numFmtId="0" fontId="0" fillId="16" borderId="44" xfId="0" applyFill="1" applyBorder="1" applyAlignment="1">
      <alignment horizontal="center"/>
    </xf>
    <xf numFmtId="0" fontId="0" fillId="16" borderId="13" xfId="0" applyFill="1" applyBorder="1" applyAlignment="1">
      <alignment horizontal="center"/>
    </xf>
    <xf numFmtId="0" fontId="0" fillId="16" borderId="4" xfId="0" applyFill="1" applyBorder="1" applyAlignment="1">
      <alignment horizontal="center"/>
    </xf>
    <xf numFmtId="0" fontId="0" fillId="16" borderId="45" xfId="0" applyFill="1" applyBorder="1" applyAlignment="1">
      <alignment horizontal="center"/>
    </xf>
    <xf numFmtId="0" fontId="0" fillId="16" borderId="46" xfId="0" applyFill="1" applyBorder="1" applyAlignment="1">
      <alignment horizontal="center"/>
    </xf>
    <xf numFmtId="0" fontId="0" fillId="16" borderId="47" xfId="0" applyFill="1" applyBorder="1" applyAlignment="1">
      <alignment horizontal="center"/>
    </xf>
    <xf numFmtId="0" fontId="0" fillId="16" borderId="48" xfId="0" applyFill="1" applyBorder="1" applyAlignment="1">
      <alignment horizontal="center"/>
    </xf>
    <xf numFmtId="0" fontId="0" fillId="12" borderId="14" xfId="0" applyFill="1" applyBorder="1" applyAlignment="1">
      <alignment horizontal="center"/>
    </xf>
    <xf numFmtId="0" fontId="0" fillId="12" borderId="15" xfId="0" applyFill="1" applyBorder="1" applyAlignment="1">
      <alignment horizontal="center"/>
    </xf>
    <xf numFmtId="0" fontId="0" fillId="12" borderId="16" xfId="0" applyFill="1" applyBorder="1" applyAlignment="1">
      <alignment horizontal="center"/>
    </xf>
    <xf numFmtId="0" fontId="5" fillId="0" borderId="25" xfId="0" applyFont="1" applyBorder="1" applyAlignment="1">
      <alignment horizontal="center"/>
    </xf>
    <xf numFmtId="0" fontId="5" fillId="0" borderId="26"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7" fillId="0" borderId="14" xfId="0" applyFont="1" applyBorder="1" applyAlignment="1" applyProtection="1">
      <alignment horizontal="center"/>
      <protection locked="0"/>
    </xf>
    <xf numFmtId="0" fontId="7" fillId="0" borderId="15" xfId="0" applyFont="1" applyBorder="1" applyAlignment="1" applyProtection="1">
      <alignment horizontal="center"/>
      <protection locked="0"/>
    </xf>
    <xf numFmtId="0" fontId="7" fillId="0" borderId="16" xfId="0" applyFont="1" applyBorder="1" applyAlignment="1" applyProtection="1">
      <alignment horizontal="center"/>
      <protection locked="0"/>
    </xf>
    <xf numFmtId="0" fontId="5" fillId="15" borderId="20" xfId="0" applyFont="1" applyFill="1" applyBorder="1" applyAlignment="1">
      <alignment horizontal="center"/>
    </xf>
    <xf numFmtId="0" fontId="5" fillId="15" borderId="21" xfId="0" applyFont="1" applyFill="1" applyBorder="1" applyAlignment="1">
      <alignment horizontal="center"/>
    </xf>
    <xf numFmtId="0" fontId="0" fillId="0" borderId="4" xfId="0" applyNumberFormat="1" applyFill="1" applyBorder="1"/>
    <xf numFmtId="22" fontId="0" fillId="0" borderId="4" xfId="0" applyNumberFormat="1" applyFill="1" applyBorder="1"/>
    <xf numFmtId="0" fontId="36" fillId="0" borderId="4" xfId="0" applyNumberFormat="1" applyFont="1" applyFill="1" applyBorder="1" applyAlignment="1">
      <alignment horizontal="center"/>
    </xf>
  </cellXfs>
  <cellStyles count="4">
    <cellStyle name="20% - Accent1" xfId="2" builtinId="30"/>
    <cellStyle name="Heading 1" xfId="1" builtinId="16"/>
    <cellStyle name="Hyperlink" xfId="3" builtinId="8"/>
    <cellStyle name="Normal" xfId="0" builtinId="0"/>
  </cellStyles>
  <dxfs count="4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theme="7"/>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strike/>
        <color theme="9"/>
      </font>
    </dxf>
    <dxf>
      <font>
        <strike/>
        <color theme="9"/>
      </font>
    </dxf>
    <dxf>
      <font>
        <color rgb="FF9C0006"/>
      </font>
      <fill>
        <patternFill>
          <bgColor rgb="FFFFC7CE"/>
        </patternFill>
      </fill>
    </dxf>
    <dxf>
      <font>
        <color rgb="FF9C0006"/>
      </font>
      <fill>
        <patternFill>
          <bgColor rgb="FFFFC7CE"/>
        </patternFill>
      </fill>
    </dxf>
    <dxf>
      <fill>
        <patternFill>
          <bgColor theme="7"/>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ill>
        <patternFill>
          <bgColor theme="9" tint="0.59996337778862885"/>
        </patternFill>
      </fill>
    </dxf>
    <dxf>
      <fill>
        <patternFill>
          <bgColor rgb="FFFF0000"/>
        </patternFill>
      </fill>
    </dxf>
    <dxf>
      <fill>
        <patternFill>
          <bgColor theme="7" tint="0.59996337778862885"/>
        </patternFill>
      </fill>
    </dxf>
    <dxf>
      <font>
        <color rgb="FF9C0006"/>
      </font>
      <fill>
        <patternFill>
          <bgColor rgb="FFFFC7CE"/>
        </patternFill>
      </fill>
    </dxf>
    <dxf>
      <font>
        <strike/>
        <color theme="9"/>
      </font>
    </dxf>
    <dxf>
      <font>
        <strike/>
        <color theme="9"/>
      </font>
    </dxf>
    <dxf>
      <font>
        <color rgb="FF9C0006"/>
      </font>
      <fill>
        <patternFill>
          <bgColor rgb="FFFFC7CE"/>
        </patternFill>
      </fill>
    </dxf>
    <dxf>
      <font>
        <color rgb="FF9C0006"/>
      </font>
      <fill>
        <patternFill>
          <bgColor rgb="FFFFC7CE"/>
        </patternFill>
      </fill>
    </dxf>
    <dxf>
      <fill>
        <patternFill>
          <bgColor rgb="FFFF33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9" tint="0.59996337778862885"/>
        </patternFill>
      </fill>
    </dxf>
    <dxf>
      <fill>
        <patternFill>
          <bgColor rgb="FFFF0000"/>
        </patternFill>
      </fill>
    </dxf>
    <dxf>
      <fill>
        <patternFill>
          <bgColor theme="7" tint="0.59996337778862885"/>
        </patternFill>
      </fill>
    </dxf>
    <dxf>
      <fill>
        <patternFill>
          <bgColor theme="7"/>
        </patternFill>
      </fill>
    </dxf>
    <dxf>
      <fill>
        <patternFill>
          <bgColor rgb="FFFF3300"/>
        </patternFill>
      </fill>
    </dxf>
    <dxf>
      <font>
        <strike/>
        <color theme="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color rgb="FFFF66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962025</xdr:colOff>
          <xdr:row>30</xdr:row>
          <xdr:rowOff>47625</xdr:rowOff>
        </xdr:from>
        <xdr:to>
          <xdr:col>4</xdr:col>
          <xdr:colOff>723900</xdr:colOff>
          <xdr:row>35</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339966"/>
                  </a:solidFill>
                  <a:latin typeface="Calibri"/>
                  <a:cs typeface="Calibri"/>
                </a:rPr>
                <a:t>Copy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2</xdr:row>
          <xdr:rowOff>85725</xdr:rowOff>
        </xdr:from>
        <xdr:to>
          <xdr:col>6</xdr:col>
          <xdr:colOff>66675</xdr:colOff>
          <xdr:row>4</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323850</xdr:colOff>
          <xdr:row>10</xdr:row>
          <xdr:rowOff>57150</xdr:rowOff>
        </xdr:from>
        <xdr:to>
          <xdr:col>7</xdr:col>
          <xdr:colOff>371475</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STMT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323850</xdr:colOff>
          <xdr:row>24</xdr:row>
          <xdr:rowOff>85725</xdr:rowOff>
        </xdr:from>
        <xdr:to>
          <xdr:col>4</xdr:col>
          <xdr:colOff>657225</xdr:colOff>
          <xdr:row>26</xdr:row>
          <xdr:rowOff>142875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2</xdr:row>
          <xdr:rowOff>114300</xdr:rowOff>
        </xdr:from>
        <xdr:to>
          <xdr:col>8</xdr:col>
          <xdr:colOff>428625</xdr:colOff>
          <xdr:row>4</xdr:row>
          <xdr:rowOff>114300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2</xdr:row>
          <xdr:rowOff>123825</xdr:rowOff>
        </xdr:from>
        <xdr:to>
          <xdr:col>11</xdr:col>
          <xdr:colOff>47625</xdr:colOff>
          <xdr:row>4</xdr:row>
          <xdr:rowOff>114300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10</xdr:row>
          <xdr:rowOff>76200</xdr:rowOff>
        </xdr:from>
        <xdr:to>
          <xdr:col>9</xdr:col>
          <xdr:colOff>514350</xdr:colOff>
          <xdr:row>12</xdr:row>
          <xdr:rowOff>123825</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114300</xdr:colOff>
          <xdr:row>10</xdr:row>
          <xdr:rowOff>85725</xdr:rowOff>
        </xdr:from>
        <xdr:to>
          <xdr:col>11</xdr:col>
          <xdr:colOff>533400</xdr:colOff>
          <xdr:row>12</xdr:row>
          <xdr:rowOff>104775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17</xdr:row>
          <xdr:rowOff>85725</xdr:rowOff>
        </xdr:from>
        <xdr:to>
          <xdr:col>6</xdr:col>
          <xdr:colOff>238125</xdr:colOff>
          <xdr:row>19</xdr:row>
          <xdr:rowOff>85725</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514350</xdr:colOff>
          <xdr:row>17</xdr:row>
          <xdr:rowOff>152400</xdr:rowOff>
        </xdr:from>
        <xdr:to>
          <xdr:col>9</xdr:col>
          <xdr:colOff>66675</xdr:colOff>
          <xdr:row>19</xdr:row>
          <xdr:rowOff>104775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314325</xdr:colOff>
          <xdr:row>17</xdr:row>
          <xdr:rowOff>123825</xdr:rowOff>
        </xdr:from>
        <xdr:to>
          <xdr:col>11</xdr:col>
          <xdr:colOff>447675</xdr:colOff>
          <xdr:row>19</xdr:row>
          <xdr:rowOff>133350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24</xdr:row>
          <xdr:rowOff>85725</xdr:rowOff>
        </xdr:from>
        <xdr:to>
          <xdr:col>7</xdr:col>
          <xdr:colOff>361950</xdr:colOff>
          <xdr:row>26</xdr:row>
          <xdr:rowOff>142875</xdr:rowOff>
        </xdr:to>
        <xdr:sp macro="" textlink="">
          <xdr:nvSpPr>
            <xdr:cNvPr id="2060" name="Button 12" hidden="1">
              <a:extLst>
                <a:ext uri="{63B3BB69-23CF-44E3-9099-C40C66FF867C}">
                  <a14:compatExt spid="_x0000_s20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225137</xdr:colOff>
      <xdr:row>2</xdr:row>
      <xdr:rowOff>329047</xdr:rowOff>
    </xdr:from>
    <xdr:to>
      <xdr:col>6</xdr:col>
      <xdr:colOff>1420090</xdr:colOff>
      <xdr:row>4</xdr:row>
      <xdr:rowOff>34637</xdr:rowOff>
    </xdr:to>
    <xdr:sp macro="[0]!DMS" textlink="">
      <xdr:nvSpPr>
        <xdr:cNvPr id="3" name="Rounded Rectangle 2"/>
        <xdr:cNvSpPr/>
      </xdr:nvSpPr>
      <xdr:spPr>
        <a:xfrm>
          <a:off x="8692862" y="1014847"/>
          <a:ext cx="1194953" cy="391390"/>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a:t>DMS</a:t>
          </a:r>
          <a:r>
            <a:rPr lang="en-US" sz="1400" baseline="0"/>
            <a:t> COUNT</a:t>
          </a:r>
          <a:endParaRPr lang="en-US" sz="1400"/>
        </a:p>
      </xdr:txBody>
    </xdr:sp>
    <xdr:clientData/>
  </xdr:twoCellAnchor>
  <xdr:twoCellAnchor>
    <xdr:from>
      <xdr:col>2</xdr:col>
      <xdr:colOff>86591</xdr:colOff>
      <xdr:row>0</xdr:row>
      <xdr:rowOff>51955</xdr:rowOff>
    </xdr:from>
    <xdr:to>
      <xdr:col>2</xdr:col>
      <xdr:colOff>1281544</xdr:colOff>
      <xdr:row>1</xdr:row>
      <xdr:rowOff>103909</xdr:rowOff>
    </xdr:to>
    <xdr:sp macro="[0]!IncompleteMasterr" textlink="">
      <xdr:nvSpPr>
        <xdr:cNvPr id="4" name="Rounded Rectangle 3"/>
        <xdr:cNvSpPr/>
      </xdr:nvSpPr>
      <xdr:spPr>
        <a:xfrm>
          <a:off x="3010766" y="51955"/>
          <a:ext cx="1194953" cy="394854"/>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a:t>Incomplete</a:t>
          </a:r>
        </a:p>
      </xdr:txBody>
    </xdr:sp>
    <xdr:clientData/>
  </xdr:twoCellAnchor>
  <xdr:twoCellAnchor>
    <xdr:from>
      <xdr:col>2</xdr:col>
      <xdr:colOff>86592</xdr:colOff>
      <xdr:row>1</xdr:row>
      <xdr:rowOff>173182</xdr:rowOff>
    </xdr:from>
    <xdr:to>
      <xdr:col>2</xdr:col>
      <xdr:colOff>1281545</xdr:colOff>
      <xdr:row>2</xdr:row>
      <xdr:rowOff>225137</xdr:rowOff>
    </xdr:to>
    <xdr:sp macro="[0]!SamplingMaster" textlink="">
      <xdr:nvSpPr>
        <xdr:cNvPr id="5" name="Rounded Rectangle 4"/>
        <xdr:cNvSpPr/>
      </xdr:nvSpPr>
      <xdr:spPr>
        <a:xfrm>
          <a:off x="3010767" y="516082"/>
          <a:ext cx="1194953" cy="394855"/>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a:t>Sampling</a:t>
          </a:r>
        </a:p>
      </xdr:txBody>
    </xdr:sp>
    <xdr:clientData/>
  </xdr:twoCellAnchor>
  <xdr:twoCellAnchor>
    <xdr:from>
      <xdr:col>2</xdr:col>
      <xdr:colOff>69273</xdr:colOff>
      <xdr:row>2</xdr:row>
      <xdr:rowOff>294410</xdr:rowOff>
    </xdr:from>
    <xdr:to>
      <xdr:col>2</xdr:col>
      <xdr:colOff>1264226</xdr:colOff>
      <xdr:row>4</xdr:row>
      <xdr:rowOff>0</xdr:rowOff>
    </xdr:to>
    <xdr:sp macro="[0]!OtherQueryMaster" textlink="">
      <xdr:nvSpPr>
        <xdr:cNvPr id="6" name="Rounded Rectangle 5"/>
        <xdr:cNvSpPr/>
      </xdr:nvSpPr>
      <xdr:spPr>
        <a:xfrm>
          <a:off x="2993448" y="980210"/>
          <a:ext cx="1194953" cy="391390"/>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a:t>Other Query</a:t>
          </a:r>
        </a:p>
      </xdr:txBody>
    </xdr:sp>
    <xdr:clientData/>
  </xdr:twoCellAnchor>
  <xdr:twoCellAnchor>
    <xdr:from>
      <xdr:col>13</xdr:col>
      <xdr:colOff>1204104</xdr:colOff>
      <xdr:row>4</xdr:row>
      <xdr:rowOff>17972</xdr:rowOff>
    </xdr:from>
    <xdr:to>
      <xdr:col>15</xdr:col>
      <xdr:colOff>17972</xdr:colOff>
      <xdr:row>5</xdr:row>
      <xdr:rowOff>161745</xdr:rowOff>
    </xdr:to>
    <xdr:sp macro="[0]!Module6.Search_OutlookEmails" textlink="">
      <xdr:nvSpPr>
        <xdr:cNvPr id="7" name="Rounded Rectangle 6"/>
        <xdr:cNvSpPr/>
      </xdr:nvSpPr>
      <xdr:spPr>
        <a:xfrm>
          <a:off x="17815704" y="1389572"/>
          <a:ext cx="2090468" cy="400948"/>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a:t>
          </a:r>
          <a:r>
            <a:rPr lang="en-US" sz="1400" b="1" baseline="0">
              <a:solidFill>
                <a:schemeClr val="lt1"/>
              </a:solidFill>
              <a:latin typeface="+mn-lt"/>
              <a:ea typeface="+mn-ea"/>
              <a:cs typeface="+mn-cs"/>
            </a:rPr>
            <a:t>  OPEN EMAIL</a:t>
          </a:r>
        </a:p>
      </xdr:txBody>
    </xdr:sp>
    <xdr:clientData/>
  </xdr:twoCellAnchor>
  <xdr:twoCellAnchor>
    <xdr:from>
      <xdr:col>2</xdr:col>
      <xdr:colOff>69273</xdr:colOff>
      <xdr:row>4</xdr:row>
      <xdr:rowOff>69273</xdr:rowOff>
    </xdr:from>
    <xdr:to>
      <xdr:col>2</xdr:col>
      <xdr:colOff>1264226</xdr:colOff>
      <xdr:row>5</xdr:row>
      <xdr:rowOff>173182</xdr:rowOff>
    </xdr:to>
    <xdr:sp macro="[0]!SOAMaster" textlink="">
      <xdr:nvSpPr>
        <xdr:cNvPr id="8" name="Rounded Rectangle 7"/>
        <xdr:cNvSpPr/>
      </xdr:nvSpPr>
      <xdr:spPr>
        <a:xfrm>
          <a:off x="2993448" y="1440873"/>
          <a:ext cx="1194953" cy="361084"/>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a:t>SOA</a:t>
          </a:r>
        </a:p>
      </xdr:txBody>
    </xdr:sp>
    <xdr:clientData/>
  </xdr:twoCellAnchor>
  <xdr:twoCellAnchor>
    <xdr:from>
      <xdr:col>15</xdr:col>
      <xdr:colOff>48361</xdr:colOff>
      <xdr:row>2</xdr:row>
      <xdr:rowOff>290815</xdr:rowOff>
    </xdr:from>
    <xdr:to>
      <xdr:col>15</xdr:col>
      <xdr:colOff>1257365</xdr:colOff>
      <xdr:row>4</xdr:row>
      <xdr:rowOff>16990</xdr:rowOff>
    </xdr:to>
    <xdr:sp macro="[0]!IBAN" textlink="">
      <xdr:nvSpPr>
        <xdr:cNvPr id="10" name="Rounded Rectangle 9"/>
        <xdr:cNvSpPr/>
      </xdr:nvSpPr>
      <xdr:spPr>
        <a:xfrm>
          <a:off x="21384361" y="966224"/>
          <a:ext cx="1209004" cy="401584"/>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a:t>Check IBAN</a:t>
          </a:r>
        </a:p>
      </xdr:txBody>
    </xdr:sp>
    <xdr:clientData/>
  </xdr:twoCellAnchor>
  <xdr:twoCellAnchor>
    <xdr:from>
      <xdr:col>11</xdr:col>
      <xdr:colOff>69273</xdr:colOff>
      <xdr:row>4</xdr:row>
      <xdr:rowOff>103909</xdr:rowOff>
    </xdr:from>
    <xdr:to>
      <xdr:col>12</xdr:col>
      <xdr:colOff>1281545</xdr:colOff>
      <xdr:row>5</xdr:row>
      <xdr:rowOff>155864</xdr:rowOff>
    </xdr:to>
    <xdr:sp macro="[0]!emailrecv" textlink="">
      <xdr:nvSpPr>
        <xdr:cNvPr id="2" name="Rectangle 1"/>
        <xdr:cNvSpPr/>
      </xdr:nvSpPr>
      <xdr:spPr>
        <a:xfrm>
          <a:off x="14962909" y="1437409"/>
          <a:ext cx="2632363" cy="311728"/>
        </a:xfrm>
        <a:prstGeom prst="rect">
          <a:avLst/>
        </a:prstGeom>
        <a:solidFill>
          <a:schemeClr val="accent1">
            <a:lumMod val="50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baseline="0">
              <a:solidFill>
                <a:schemeClr val="bg2"/>
              </a:solidFill>
            </a:rPr>
            <a:t>             C</a:t>
          </a:r>
          <a:r>
            <a:rPr lang="en-US" sz="1400" b="1">
              <a:solidFill>
                <a:schemeClr val="bg2"/>
              </a:solidFill>
            </a:rPr>
            <a:t>heck for New Mail</a:t>
          </a:r>
        </a:p>
      </xdr:txBody>
    </xdr:sp>
    <xdr:clientData/>
  </xdr:twoCellAnchor>
  <xdr:twoCellAnchor editAs="oneCell">
    <xdr:from>
      <xdr:col>8</xdr:col>
      <xdr:colOff>606141</xdr:colOff>
      <xdr:row>3</xdr:row>
      <xdr:rowOff>0</xdr:rowOff>
    </xdr:from>
    <xdr:to>
      <xdr:col>9</xdr:col>
      <xdr:colOff>813956</xdr:colOff>
      <xdr:row>5</xdr:row>
      <xdr:rowOff>242450</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11550" y="987136"/>
          <a:ext cx="848587" cy="848587"/>
        </a:xfrm>
        <a:prstGeom prst="rect">
          <a:avLst/>
        </a:prstGeom>
      </xdr:spPr>
    </xdr:pic>
    <xdr:clientData/>
  </xdr:twoCellAnchor>
  <xdr:twoCellAnchor editAs="oneCell">
    <xdr:from>
      <xdr:col>0</xdr:col>
      <xdr:colOff>207820</xdr:colOff>
      <xdr:row>3</xdr:row>
      <xdr:rowOff>138546</xdr:rowOff>
    </xdr:from>
    <xdr:to>
      <xdr:col>0</xdr:col>
      <xdr:colOff>952501</xdr:colOff>
      <xdr:row>6</xdr:row>
      <xdr:rowOff>34636</xdr:rowOff>
    </xdr:to>
    <xdr:pic>
      <xdr:nvPicPr>
        <xdr:cNvPr id="12" name="Picture 1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7820" y="1125682"/>
          <a:ext cx="744681" cy="744681"/>
        </a:xfrm>
        <a:prstGeom prst="rect">
          <a:avLst/>
        </a:prstGeom>
      </xdr:spPr>
    </xdr:pic>
    <xdr:clientData/>
  </xdr:twoCellAnchor>
  <xdr:twoCellAnchor editAs="oneCell">
    <xdr:from>
      <xdr:col>22</xdr:col>
      <xdr:colOff>554183</xdr:colOff>
      <xdr:row>2</xdr:row>
      <xdr:rowOff>259773</xdr:rowOff>
    </xdr:from>
    <xdr:to>
      <xdr:col>24</xdr:col>
      <xdr:colOff>69273</xdr:colOff>
      <xdr:row>6</xdr:row>
      <xdr:rowOff>23874</xdr:rowOff>
    </xdr:to>
    <xdr:pic>
      <xdr:nvPicPr>
        <xdr:cNvPr id="14" name="Picture 1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991138" y="917864"/>
          <a:ext cx="1333499" cy="941737"/>
        </a:xfrm>
        <a:prstGeom prst="rect">
          <a:avLst/>
        </a:prstGeom>
      </xdr:spPr>
    </xdr:pic>
    <xdr:clientData/>
  </xdr:twoCellAnchor>
  <xdr:twoCellAnchor editAs="oneCell">
    <xdr:from>
      <xdr:col>18</xdr:col>
      <xdr:colOff>0</xdr:colOff>
      <xdr:row>3</xdr:row>
      <xdr:rowOff>0</xdr:rowOff>
    </xdr:from>
    <xdr:to>
      <xdr:col>18</xdr:col>
      <xdr:colOff>848587</xdr:colOff>
      <xdr:row>5</xdr:row>
      <xdr:rowOff>242450</xdr:rowOff>
    </xdr:to>
    <xdr:pic>
      <xdr:nvPicPr>
        <xdr:cNvPr id="19"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808545" y="987136"/>
          <a:ext cx="848587" cy="84858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raud%20Sampling/Production%20Tracker/2019/APRIL/Kamal/Master%20Traker-%20APR-NE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raud%20Sampling/vipin/Data%20Saving/Data%20Saving%20OC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aving"/>
      <sheetName val="Master"/>
      <sheetName val="05-01-2019"/>
      <sheetName val="04-29-2019"/>
      <sheetName val="04-28-2019"/>
      <sheetName val="04-27-2019"/>
      <sheetName val="04-25-2019"/>
      <sheetName val="04-23-2019"/>
      <sheetName val="04-23-19"/>
      <sheetName val="04-22-2019"/>
      <sheetName val="04-21-2019"/>
      <sheetName val="04-20-2019"/>
      <sheetName val="04-18-2019"/>
      <sheetName val="04-16-2019"/>
      <sheetName val="04-15-2019"/>
      <sheetName val="04-13-2019"/>
      <sheetName val="04-11-2019"/>
      <sheetName val="04-10-2019"/>
      <sheetName val="04-09-2019"/>
      <sheetName val="04-08-2019"/>
      <sheetName val="04-07-2019"/>
      <sheetName val="04-06-2019"/>
      <sheetName val="04-01-2019"/>
      <sheetName val="Master Traker- APR-NEW"/>
    </sheetNames>
    <sheetDataSet>
      <sheetData sheetId="0" refreshError="1"/>
      <sheetData sheetId="1">
        <row r="1">
          <cell r="BA1" t="str">
            <v>OTHERQUERIES</v>
          </cell>
          <cell r="BB1" t="str">
            <v>INCOMPLETEDOC</v>
          </cell>
          <cell r="BC1" t="str">
            <v>SOA</v>
          </cell>
          <cell r="BD1" t="str">
            <v>NO ANOMALY</v>
          </cell>
          <cell r="BE1" t="str">
            <v>SAMPLING</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ement Confirmation"/>
      <sheetName val="Incomplete Document"/>
      <sheetName val="Other Queries"/>
      <sheetName val="Sampling"/>
    </sheetNames>
    <sheetDataSet>
      <sheetData sheetId="0">
        <row r="2">
          <cell r="A2">
            <v>2256455</v>
          </cell>
          <cell r="B2" t="str">
            <v>FAB</v>
          </cell>
          <cell r="C2">
            <v>43739.357615740744</v>
          </cell>
          <cell r="D2" t="str">
            <v>Jomar</v>
          </cell>
          <cell r="E2" t="str">
            <v>SUSPEND</v>
          </cell>
          <cell r="F2" t="str">
            <v>Confirmed as good</v>
          </cell>
        </row>
        <row r="3">
          <cell r="A3">
            <v>2257583</v>
          </cell>
          <cell r="B3" t="str">
            <v>CBD</v>
          </cell>
          <cell r="C3">
            <v>43739.536111111112</v>
          </cell>
          <cell r="D3" t="str">
            <v>Jomar</v>
          </cell>
          <cell r="E3" t="str">
            <v>SUSPEND</v>
          </cell>
          <cell r="F3" t="str">
            <v>Initiated</v>
          </cell>
        </row>
        <row r="4">
          <cell r="A4">
            <v>2257732</v>
          </cell>
          <cell r="B4" t="str">
            <v>NBF</v>
          </cell>
          <cell r="C4">
            <v>43739.54859953704</v>
          </cell>
          <cell r="D4" t="str">
            <v>Diana</v>
          </cell>
          <cell r="E4" t="str">
            <v>SUSPEND</v>
          </cell>
          <cell r="F4" t="str">
            <v>Initiated</v>
          </cell>
        </row>
        <row r="5">
          <cell r="A5">
            <v>2257797</v>
          </cell>
          <cell r="B5" t="str">
            <v>DIB</v>
          </cell>
          <cell r="C5">
            <v>43739.566365740742</v>
          </cell>
          <cell r="D5" t="str">
            <v>Pravjot</v>
          </cell>
          <cell r="E5"/>
          <cell r="F5" t="str">
            <v>Initiated</v>
          </cell>
        </row>
        <row r="6">
          <cell r="A6">
            <v>2256738</v>
          </cell>
          <cell r="B6" t="str">
            <v>ADIB</v>
          </cell>
          <cell r="C6">
            <v>43739.566678240742</v>
          </cell>
          <cell r="D6" t="str">
            <v>Diana</v>
          </cell>
          <cell r="E6" t="str">
            <v>SUSPEND</v>
          </cell>
          <cell r="F6" t="str">
            <v>Confirmed as good</v>
          </cell>
        </row>
        <row r="7">
          <cell r="A7">
            <v>2257143</v>
          </cell>
          <cell r="B7" t="str">
            <v>ADCB</v>
          </cell>
          <cell r="C7">
            <v>43739.571122685185</v>
          </cell>
          <cell r="D7" t="str">
            <v>Umair</v>
          </cell>
          <cell r="E7" t="str">
            <v>NOT REQ</v>
          </cell>
          <cell r="F7" t="str">
            <v>Confirmed as good</v>
          </cell>
        </row>
        <row r="8">
          <cell r="A8">
            <v>2255941</v>
          </cell>
          <cell r="B8" t="str">
            <v>RAK</v>
          </cell>
          <cell r="C8">
            <v>43739.639085648145</v>
          </cell>
          <cell r="D8" t="str">
            <v>Pravjot</v>
          </cell>
          <cell r="E8"/>
          <cell r="F8" t="str">
            <v>Confirmed as good</v>
          </cell>
        </row>
        <row r="9">
          <cell r="A9">
            <v>2256815</v>
          </cell>
          <cell r="B9" t="str">
            <v>CBD</v>
          </cell>
          <cell r="C9">
            <v>43739.673483796294</v>
          </cell>
          <cell r="D9" t="str">
            <v>Shamika</v>
          </cell>
          <cell r="E9" t="str">
            <v>SUSPEND</v>
          </cell>
          <cell r="F9" t="str">
            <v>Initiated</v>
          </cell>
        </row>
        <row r="10">
          <cell r="A10">
            <v>2257944</v>
          </cell>
          <cell r="B10" t="str">
            <v>ADCB</v>
          </cell>
          <cell r="C10">
            <v>43740.631296296298</v>
          </cell>
          <cell r="D10" t="str">
            <v>Mubashar</v>
          </cell>
          <cell r="E10" t="str">
            <v>SUSPEND</v>
          </cell>
          <cell r="F10"/>
        </row>
        <row r="11">
          <cell r="A11">
            <v>2258702</v>
          </cell>
          <cell r="B11" t="str">
            <v>Mashreq</v>
          </cell>
          <cell r="C11">
            <v>43740.657060185185</v>
          </cell>
          <cell r="D11" t="str">
            <v>Rajesh</v>
          </cell>
          <cell r="E11" t="str">
            <v>SUSPEND</v>
          </cell>
          <cell r="F11"/>
        </row>
        <row r="12">
          <cell r="A12">
            <v>2258620</v>
          </cell>
          <cell r="B12" t="str">
            <v>RAK</v>
          </cell>
          <cell r="C12">
            <v>43740.666770833333</v>
          </cell>
          <cell r="D12" t="str">
            <v>Agnes</v>
          </cell>
          <cell r="E12" t="str">
            <v>SUSPEND</v>
          </cell>
          <cell r="F12"/>
        </row>
        <row r="13">
          <cell r="A13">
            <v>2257962</v>
          </cell>
          <cell r="B13" t="str">
            <v>ADIB</v>
          </cell>
          <cell r="C13">
            <v>43740.669131944444</v>
          </cell>
          <cell r="D13" t="str">
            <v>Carlo</v>
          </cell>
          <cell r="E13" t="str">
            <v>SUSPEND</v>
          </cell>
          <cell r="F13"/>
        </row>
        <row r="14">
          <cell r="A14">
            <v>2257668</v>
          </cell>
          <cell r="B14" t="str">
            <v>FAB</v>
          </cell>
          <cell r="C14">
            <v>43740.676493055558</v>
          </cell>
          <cell r="D14" t="str">
            <v>Rajesh</v>
          </cell>
          <cell r="E14" t="str">
            <v>SUSPEND</v>
          </cell>
          <cell r="F14"/>
        </row>
        <row r="15">
          <cell r="A15">
            <v>2258643</v>
          </cell>
          <cell r="B15" t="str">
            <v>RAK</v>
          </cell>
          <cell r="C15">
            <v>43740.678136574075</v>
          </cell>
          <cell r="D15" t="str">
            <v>Shamika</v>
          </cell>
          <cell r="E15" t="str">
            <v>SUSPEND</v>
          </cell>
          <cell r="F15"/>
        </row>
        <row r="16">
          <cell r="A16">
            <v>2257362</v>
          </cell>
          <cell r="B16" t="str">
            <v>Habib AG</v>
          </cell>
          <cell r="C16">
            <v>43740.683275462965</v>
          </cell>
          <cell r="D16" t="str">
            <v>Carlo</v>
          </cell>
          <cell r="E16" t="str">
            <v>SUSPEND</v>
          </cell>
          <cell r="F16"/>
        </row>
        <row r="17">
          <cell r="A17">
            <v>2257362</v>
          </cell>
          <cell r="B17" t="str">
            <v>Habib AG</v>
          </cell>
          <cell r="C17">
            <v>43740.683506944442</v>
          </cell>
          <cell r="D17" t="str">
            <v>Carlo</v>
          </cell>
          <cell r="E17" t="str">
            <v>SUSPEND</v>
          </cell>
          <cell r="F17"/>
        </row>
        <row r="18">
          <cell r="A18">
            <v>2256902</v>
          </cell>
          <cell r="B18" t="str">
            <v>ADCB</v>
          </cell>
          <cell r="C18">
            <v>43740.687939814816</v>
          </cell>
          <cell r="D18" t="str">
            <v>Carlo</v>
          </cell>
          <cell r="E18" t="str">
            <v>SUSPEND</v>
          </cell>
          <cell r="F18"/>
        </row>
        <row r="19">
          <cell r="A19">
            <v>2258397</v>
          </cell>
          <cell r="B19" t="str">
            <v>FAB</v>
          </cell>
          <cell r="C19">
            <v>43741.383912037039</v>
          </cell>
          <cell r="D19" t="str">
            <v>Jomar</v>
          </cell>
          <cell r="E19" t="str">
            <v>SUSPEND</v>
          </cell>
          <cell r="F19"/>
        </row>
        <row r="20">
          <cell r="A20">
            <v>2260210</v>
          </cell>
          <cell r="B20" t="str">
            <v>RAK</v>
          </cell>
          <cell r="C20">
            <v>43741.534490740742</v>
          </cell>
          <cell r="D20" t="str">
            <v>Mubashar</v>
          </cell>
          <cell r="E20" t="str">
            <v>SUSPEND</v>
          </cell>
          <cell r="F20"/>
        </row>
        <row r="21">
          <cell r="A21">
            <v>2259592</v>
          </cell>
          <cell r="B21" t="str">
            <v>DIB</v>
          </cell>
          <cell r="C21">
            <v>43741.575613425928</v>
          </cell>
          <cell r="D21" t="str">
            <v>Agnes</v>
          </cell>
          <cell r="E21"/>
          <cell r="F21"/>
        </row>
        <row r="22">
          <cell r="A22">
            <v>2258752</v>
          </cell>
          <cell r="B22" t="str">
            <v>ADCB</v>
          </cell>
          <cell r="C22">
            <v>43741.59202546296</v>
          </cell>
          <cell r="D22" t="str">
            <v>Carlo</v>
          </cell>
          <cell r="E22" t="str">
            <v>SUSPEND</v>
          </cell>
          <cell r="F22"/>
        </row>
        <row r="23">
          <cell r="A23">
            <v>2258511</v>
          </cell>
          <cell r="B23" t="str">
            <v>RAK</v>
          </cell>
          <cell r="C23">
            <v>43741.597615740742</v>
          </cell>
          <cell r="D23" t="str">
            <v>Jomar</v>
          </cell>
          <cell r="E23" t="str">
            <v>SUSPEND</v>
          </cell>
          <cell r="F23"/>
        </row>
        <row r="24">
          <cell r="A24">
            <v>2260196</v>
          </cell>
          <cell r="B24" t="str">
            <v>ADCB</v>
          </cell>
          <cell r="C24">
            <v>43741.619108796294</v>
          </cell>
          <cell r="D24" t="str">
            <v>Pravjot</v>
          </cell>
          <cell r="E24" t="str">
            <v>SUSPEND</v>
          </cell>
          <cell r="F24"/>
        </row>
        <row r="25">
          <cell r="A25">
            <v>2256871</v>
          </cell>
          <cell r="B25" t="str">
            <v>BOB</v>
          </cell>
          <cell r="C25">
            <v>43741.652245370373</v>
          </cell>
          <cell r="D25" t="str">
            <v>Mubashar</v>
          </cell>
          <cell r="E25" t="str">
            <v>SUSPEND</v>
          </cell>
          <cell r="F25"/>
        </row>
        <row r="26">
          <cell r="A26">
            <v>2259967</v>
          </cell>
          <cell r="B26" t="str">
            <v>ADCB</v>
          </cell>
          <cell r="C26">
            <v>43741.657129629632</v>
          </cell>
          <cell r="D26" t="str">
            <v>Diana</v>
          </cell>
          <cell r="E26" t="str">
            <v>SUSPEND</v>
          </cell>
          <cell r="F26"/>
        </row>
        <row r="27">
          <cell r="A27">
            <v>2259633</v>
          </cell>
          <cell r="B27" t="str">
            <v>RAK</v>
          </cell>
          <cell r="C27">
            <v>43741.660578703704</v>
          </cell>
          <cell r="D27" t="str">
            <v>Rajesh</v>
          </cell>
          <cell r="E27" t="str">
            <v>SUSPEND</v>
          </cell>
          <cell r="F27"/>
        </row>
        <row r="28">
          <cell r="A28">
            <v>2257966</v>
          </cell>
          <cell r="B28" t="str">
            <v>NOOR</v>
          </cell>
          <cell r="C28">
            <v>43743.365185185183</v>
          </cell>
          <cell r="D28" t="str">
            <v>Agnes</v>
          </cell>
          <cell r="E28" t="str">
            <v>SUSPEND</v>
          </cell>
          <cell r="F28"/>
        </row>
        <row r="29">
          <cell r="A29">
            <v>2259940</v>
          </cell>
          <cell r="B29" t="str">
            <v>Mashreq</v>
          </cell>
          <cell r="C29">
            <v>43743.613287037035</v>
          </cell>
          <cell r="D29" t="str">
            <v>Carlo</v>
          </cell>
          <cell r="E29" t="str">
            <v>SUSPEND</v>
          </cell>
          <cell r="F29"/>
        </row>
        <row r="30">
          <cell r="A30"/>
          <cell r="B30"/>
          <cell r="C30"/>
          <cell r="D30"/>
          <cell r="E30"/>
          <cell r="F30"/>
        </row>
        <row r="31">
          <cell r="A31"/>
          <cell r="B31"/>
          <cell r="C31"/>
          <cell r="D31"/>
          <cell r="E31"/>
          <cell r="F31"/>
        </row>
        <row r="32">
          <cell r="A32"/>
          <cell r="B32"/>
          <cell r="C32"/>
          <cell r="D32"/>
          <cell r="E32"/>
          <cell r="F32"/>
        </row>
        <row r="33">
          <cell r="A33"/>
          <cell r="B33"/>
          <cell r="C33"/>
          <cell r="D33"/>
          <cell r="E33"/>
          <cell r="F33"/>
        </row>
        <row r="34">
          <cell r="A34"/>
          <cell r="B34"/>
          <cell r="C34"/>
          <cell r="D34"/>
          <cell r="E34"/>
          <cell r="F34"/>
        </row>
        <row r="35">
          <cell r="A35"/>
          <cell r="B35"/>
          <cell r="C35"/>
          <cell r="D35"/>
          <cell r="E35"/>
          <cell r="F35"/>
        </row>
        <row r="36">
          <cell r="A36"/>
          <cell r="B36"/>
          <cell r="C36"/>
          <cell r="D36"/>
          <cell r="E36"/>
          <cell r="F36"/>
        </row>
        <row r="37">
          <cell r="A37"/>
          <cell r="B37"/>
          <cell r="C37"/>
          <cell r="D37"/>
          <cell r="E37"/>
          <cell r="F37"/>
        </row>
        <row r="38">
          <cell r="A38"/>
          <cell r="B38"/>
          <cell r="C38"/>
          <cell r="D38"/>
          <cell r="E38"/>
          <cell r="F38"/>
        </row>
        <row r="39">
          <cell r="A39"/>
          <cell r="B39"/>
          <cell r="C39"/>
          <cell r="D39"/>
          <cell r="E39"/>
          <cell r="F39"/>
        </row>
        <row r="40">
          <cell r="A40"/>
          <cell r="B40"/>
          <cell r="C40"/>
          <cell r="D40"/>
          <cell r="E40"/>
          <cell r="F40"/>
        </row>
        <row r="41">
          <cell r="A41"/>
          <cell r="B41"/>
          <cell r="C41"/>
          <cell r="D41"/>
          <cell r="E41"/>
          <cell r="F41"/>
        </row>
        <row r="42">
          <cell r="A42"/>
          <cell r="B42"/>
          <cell r="C42"/>
          <cell r="D42"/>
          <cell r="E42"/>
          <cell r="F42"/>
        </row>
        <row r="43">
          <cell r="A43"/>
          <cell r="B43"/>
          <cell r="C43"/>
          <cell r="D43"/>
          <cell r="E43"/>
          <cell r="F43"/>
        </row>
        <row r="44">
          <cell r="A44"/>
          <cell r="B44"/>
          <cell r="C44"/>
          <cell r="D44"/>
          <cell r="E44"/>
          <cell r="F44"/>
        </row>
        <row r="45">
          <cell r="A45"/>
          <cell r="B45"/>
          <cell r="C45"/>
          <cell r="D45"/>
          <cell r="E45"/>
          <cell r="F45"/>
        </row>
        <row r="46">
          <cell r="A46"/>
          <cell r="B46"/>
          <cell r="C46"/>
          <cell r="D46"/>
          <cell r="E46"/>
          <cell r="F46"/>
        </row>
        <row r="47">
          <cell r="A47"/>
          <cell r="B47"/>
          <cell r="C47"/>
          <cell r="D47"/>
          <cell r="E47"/>
          <cell r="F47"/>
        </row>
        <row r="48">
          <cell r="A48"/>
          <cell r="B48"/>
          <cell r="C48"/>
          <cell r="D48"/>
          <cell r="E48"/>
          <cell r="F48"/>
        </row>
        <row r="49">
          <cell r="A49"/>
          <cell r="B49"/>
          <cell r="C49"/>
          <cell r="D49"/>
          <cell r="E49"/>
          <cell r="F49"/>
        </row>
        <row r="50">
          <cell r="A50"/>
          <cell r="B50"/>
          <cell r="C50"/>
          <cell r="D50"/>
          <cell r="E50"/>
          <cell r="F50"/>
        </row>
        <row r="51">
          <cell r="A51"/>
          <cell r="B51"/>
          <cell r="C51"/>
          <cell r="D51"/>
          <cell r="E51"/>
          <cell r="F51"/>
        </row>
        <row r="52">
          <cell r="A52"/>
          <cell r="B52"/>
          <cell r="C52"/>
          <cell r="D52"/>
          <cell r="E52"/>
          <cell r="F52"/>
        </row>
        <row r="53">
          <cell r="A53"/>
          <cell r="B53"/>
          <cell r="C53"/>
          <cell r="D53"/>
          <cell r="E53"/>
          <cell r="F53"/>
        </row>
        <row r="54">
          <cell r="A54"/>
          <cell r="B54"/>
          <cell r="C54"/>
          <cell r="D54"/>
          <cell r="E54"/>
          <cell r="F54"/>
        </row>
        <row r="55">
          <cell r="A55"/>
          <cell r="B55"/>
          <cell r="C55"/>
          <cell r="D55"/>
          <cell r="E55"/>
          <cell r="F55"/>
        </row>
        <row r="56">
          <cell r="A56"/>
          <cell r="B56"/>
          <cell r="C56"/>
          <cell r="D56"/>
          <cell r="E56"/>
          <cell r="F56"/>
        </row>
        <row r="57">
          <cell r="A57"/>
          <cell r="B57"/>
          <cell r="C57"/>
          <cell r="D57"/>
          <cell r="E57"/>
          <cell r="F57"/>
        </row>
        <row r="58">
          <cell r="A58"/>
          <cell r="B58"/>
          <cell r="C58"/>
          <cell r="D58"/>
          <cell r="E58"/>
          <cell r="F58"/>
        </row>
        <row r="59">
          <cell r="A59"/>
          <cell r="B59"/>
          <cell r="C59"/>
          <cell r="D59"/>
          <cell r="E59"/>
          <cell r="F59"/>
        </row>
        <row r="60">
          <cell r="A60"/>
          <cell r="B60"/>
          <cell r="C60"/>
          <cell r="D60"/>
          <cell r="E60"/>
          <cell r="F60"/>
        </row>
        <row r="61">
          <cell r="A61"/>
          <cell r="B61"/>
          <cell r="C61"/>
          <cell r="D61"/>
          <cell r="E61"/>
          <cell r="F61"/>
        </row>
        <row r="62">
          <cell r="A62"/>
          <cell r="B62"/>
          <cell r="C62"/>
          <cell r="D62"/>
          <cell r="E62"/>
          <cell r="F62"/>
        </row>
        <row r="63">
          <cell r="A63"/>
          <cell r="B63"/>
          <cell r="C63"/>
          <cell r="D63"/>
          <cell r="E63"/>
          <cell r="F63"/>
        </row>
        <row r="64">
          <cell r="A64"/>
          <cell r="B64"/>
          <cell r="C64"/>
          <cell r="D64"/>
          <cell r="E64"/>
          <cell r="F64"/>
        </row>
        <row r="65">
          <cell r="A65"/>
          <cell r="B65"/>
          <cell r="C65"/>
          <cell r="D65"/>
          <cell r="E65"/>
          <cell r="F65"/>
        </row>
        <row r="66">
          <cell r="A66"/>
          <cell r="B66"/>
          <cell r="C66"/>
          <cell r="D66"/>
          <cell r="E66"/>
          <cell r="F66"/>
        </row>
        <row r="67">
          <cell r="A67"/>
          <cell r="B67"/>
          <cell r="C67"/>
          <cell r="D67"/>
          <cell r="E67"/>
          <cell r="F67"/>
        </row>
        <row r="68">
          <cell r="A68"/>
          <cell r="B68"/>
          <cell r="C68"/>
          <cell r="D68"/>
          <cell r="E68"/>
          <cell r="F68"/>
        </row>
        <row r="69">
          <cell r="A69"/>
          <cell r="B69"/>
          <cell r="C69"/>
          <cell r="D69"/>
          <cell r="E69"/>
          <cell r="F69"/>
        </row>
        <row r="70">
          <cell r="A70"/>
          <cell r="B70"/>
          <cell r="C70"/>
          <cell r="D70"/>
          <cell r="E70"/>
          <cell r="F70"/>
        </row>
        <row r="71">
          <cell r="A71"/>
          <cell r="B71"/>
          <cell r="C71"/>
          <cell r="D71"/>
          <cell r="E71"/>
          <cell r="F71"/>
        </row>
        <row r="72">
          <cell r="A72"/>
          <cell r="B72"/>
          <cell r="C72"/>
          <cell r="D72"/>
          <cell r="E72"/>
          <cell r="F72"/>
        </row>
        <row r="73">
          <cell r="A73"/>
          <cell r="B73"/>
          <cell r="C73"/>
          <cell r="D73"/>
          <cell r="E73"/>
          <cell r="F73"/>
        </row>
        <row r="74">
          <cell r="A74"/>
          <cell r="B74"/>
          <cell r="C74"/>
          <cell r="D74"/>
          <cell r="E74"/>
          <cell r="F74"/>
        </row>
        <row r="75">
          <cell r="A75"/>
          <cell r="B75"/>
          <cell r="C75"/>
          <cell r="D75"/>
          <cell r="E75"/>
          <cell r="F75"/>
        </row>
        <row r="76">
          <cell r="A76"/>
          <cell r="B76"/>
          <cell r="C76"/>
          <cell r="D76"/>
          <cell r="E76"/>
          <cell r="F76"/>
        </row>
        <row r="77">
          <cell r="A77"/>
          <cell r="B77"/>
          <cell r="C77"/>
          <cell r="D77"/>
          <cell r="E77"/>
          <cell r="F77"/>
        </row>
        <row r="78">
          <cell r="A78"/>
          <cell r="B78"/>
          <cell r="C78"/>
          <cell r="D78"/>
          <cell r="E78"/>
          <cell r="F78"/>
        </row>
        <row r="79">
          <cell r="A79"/>
          <cell r="B79"/>
          <cell r="C79"/>
          <cell r="D79"/>
          <cell r="E79"/>
          <cell r="F79"/>
        </row>
        <row r="80">
          <cell r="A80"/>
          <cell r="B80"/>
          <cell r="C80"/>
          <cell r="D80"/>
          <cell r="E80"/>
          <cell r="F80"/>
        </row>
        <row r="81">
          <cell r="A81"/>
          <cell r="B81"/>
          <cell r="C81"/>
          <cell r="D81"/>
          <cell r="E81"/>
          <cell r="F81"/>
        </row>
        <row r="82">
          <cell r="A82"/>
          <cell r="B82"/>
          <cell r="C82"/>
          <cell r="D82"/>
          <cell r="E82"/>
          <cell r="F82"/>
        </row>
        <row r="83">
          <cell r="A83"/>
          <cell r="B83"/>
          <cell r="C83"/>
          <cell r="D83"/>
          <cell r="E83"/>
          <cell r="F83"/>
        </row>
        <row r="84">
          <cell r="A84"/>
          <cell r="B84"/>
          <cell r="C84"/>
          <cell r="D84"/>
          <cell r="E84"/>
          <cell r="F84"/>
        </row>
        <row r="85">
          <cell r="A85"/>
          <cell r="B85"/>
          <cell r="C85"/>
          <cell r="D85"/>
          <cell r="E85"/>
          <cell r="F85"/>
        </row>
        <row r="86">
          <cell r="A86"/>
          <cell r="B86"/>
          <cell r="C86"/>
          <cell r="D86"/>
          <cell r="E86"/>
          <cell r="F86"/>
        </row>
        <row r="87">
          <cell r="A87"/>
          <cell r="B87"/>
          <cell r="C87"/>
          <cell r="D87"/>
          <cell r="E87"/>
          <cell r="F87"/>
        </row>
        <row r="88">
          <cell r="A88"/>
          <cell r="B88"/>
          <cell r="C88"/>
          <cell r="D88"/>
          <cell r="E88"/>
          <cell r="F88"/>
        </row>
        <row r="89">
          <cell r="A89"/>
          <cell r="B89"/>
          <cell r="C89"/>
          <cell r="D89"/>
          <cell r="E89"/>
          <cell r="F89"/>
        </row>
        <row r="90">
          <cell r="A90"/>
          <cell r="B90"/>
          <cell r="C90"/>
          <cell r="D90"/>
          <cell r="E90"/>
          <cell r="F90"/>
        </row>
        <row r="91">
          <cell r="A91"/>
          <cell r="B91"/>
          <cell r="C91"/>
          <cell r="D91"/>
          <cell r="E91"/>
          <cell r="F91"/>
        </row>
        <row r="92">
          <cell r="A92"/>
          <cell r="B92"/>
          <cell r="C92"/>
          <cell r="D92"/>
          <cell r="E92"/>
          <cell r="F92"/>
        </row>
        <row r="93">
          <cell r="A93"/>
          <cell r="B93"/>
          <cell r="C93"/>
          <cell r="D93"/>
          <cell r="E93"/>
          <cell r="F93"/>
        </row>
        <row r="94">
          <cell r="A94"/>
          <cell r="B94"/>
          <cell r="C94"/>
          <cell r="D94"/>
          <cell r="E94"/>
          <cell r="F94"/>
        </row>
        <row r="95">
          <cell r="A95"/>
          <cell r="B95"/>
          <cell r="C95"/>
          <cell r="D95"/>
          <cell r="E95"/>
          <cell r="F95"/>
        </row>
        <row r="96">
          <cell r="A96"/>
          <cell r="B96"/>
          <cell r="C96"/>
          <cell r="D96"/>
          <cell r="E96"/>
          <cell r="F96"/>
        </row>
        <row r="97">
          <cell r="A97"/>
          <cell r="B97"/>
          <cell r="C97"/>
          <cell r="D97"/>
          <cell r="E97"/>
          <cell r="F97"/>
        </row>
        <row r="98">
          <cell r="A98"/>
          <cell r="B98"/>
          <cell r="C98"/>
          <cell r="D98"/>
          <cell r="E98"/>
          <cell r="F98"/>
        </row>
        <row r="99">
          <cell r="A99"/>
          <cell r="B99"/>
          <cell r="C99"/>
          <cell r="D99"/>
          <cell r="E99"/>
          <cell r="F99"/>
        </row>
        <row r="100">
          <cell r="A100"/>
          <cell r="B100"/>
          <cell r="C100"/>
          <cell r="D100"/>
          <cell r="E100"/>
          <cell r="F100"/>
        </row>
        <row r="101">
          <cell r="A101"/>
          <cell r="B101"/>
          <cell r="C101"/>
          <cell r="D101"/>
          <cell r="E101"/>
          <cell r="F101"/>
        </row>
        <row r="102">
          <cell r="A102"/>
          <cell r="B102"/>
          <cell r="C102"/>
          <cell r="D102"/>
          <cell r="E102"/>
          <cell r="F102"/>
        </row>
        <row r="103">
          <cell r="A103"/>
          <cell r="B103"/>
          <cell r="C103"/>
          <cell r="D103"/>
          <cell r="E103"/>
          <cell r="F103"/>
        </row>
        <row r="104">
          <cell r="A104"/>
          <cell r="B104"/>
          <cell r="C104"/>
          <cell r="D104"/>
          <cell r="E104"/>
          <cell r="F104"/>
        </row>
        <row r="105">
          <cell r="A105"/>
          <cell r="B105"/>
          <cell r="C105"/>
          <cell r="D105"/>
          <cell r="E105"/>
          <cell r="F105"/>
        </row>
        <row r="106">
          <cell r="A106"/>
          <cell r="B106"/>
          <cell r="C106"/>
          <cell r="D106"/>
          <cell r="E106"/>
          <cell r="F106"/>
        </row>
      </sheetData>
      <sheetData sheetId="1"/>
      <sheetData sheetId="2">
        <row r="2">
          <cell r="A2">
            <v>2254695</v>
          </cell>
          <cell r="B2" t="str">
            <v>OTHERS</v>
          </cell>
          <cell r="C2">
            <v>43739.372199074074</v>
          </cell>
          <cell r="D2" t="str">
            <v>Brayan</v>
          </cell>
          <cell r="E2" t="str">
            <v>RCC FV to be shared</v>
          </cell>
        </row>
        <row r="3">
          <cell r="A3">
            <v>2256241</v>
          </cell>
          <cell r="B3" t="str">
            <v>OTHERS</v>
          </cell>
          <cell r="C3">
            <v>43739.376134259262</v>
          </cell>
          <cell r="D3" t="str">
            <v>Umair</v>
          </cell>
          <cell r="E3" t="str">
            <v>RCC FV to be shared</v>
          </cell>
        </row>
        <row r="4">
          <cell r="A4">
            <v>2255624</v>
          </cell>
          <cell r="B4" t="str">
            <v>OTHERS</v>
          </cell>
          <cell r="C4">
            <v>43739.402291666665</v>
          </cell>
          <cell r="D4" t="str">
            <v>Diana</v>
          </cell>
          <cell r="E4" t="str">
            <v>shortlisted</v>
          </cell>
        </row>
        <row r="5">
          <cell r="A5">
            <v>2255832</v>
          </cell>
          <cell r="B5" t="str">
            <v>KYC DOC ISSUE</v>
          </cell>
          <cell r="C5">
            <v>43739.441111111111</v>
          </cell>
          <cell r="D5" t="str">
            <v>Mubashar</v>
          </cell>
          <cell r="E5" t="str">
            <v>discrepancy marked</v>
          </cell>
        </row>
        <row r="6">
          <cell r="A6">
            <v>2255047</v>
          </cell>
          <cell r="B6" t="str">
            <v>OTHERS</v>
          </cell>
          <cell r="C6">
            <v>43739.462800925925</v>
          </cell>
          <cell r="D6" t="str">
            <v>Shamika</v>
          </cell>
          <cell r="E6" t="str">
            <v>Dump review</v>
          </cell>
        </row>
        <row r="7">
          <cell r="A7">
            <v>2253130</v>
          </cell>
          <cell r="B7" t="str">
            <v>OTHERS</v>
          </cell>
          <cell r="C7">
            <v>43739.479733796295</v>
          </cell>
          <cell r="D7" t="str">
            <v>Brayan</v>
          </cell>
          <cell r="E7" t="str">
            <v>Email EV send</v>
          </cell>
        </row>
        <row r="8">
          <cell r="A8">
            <v>2257173</v>
          </cell>
          <cell r="B8" t="str">
            <v>OTHERS</v>
          </cell>
          <cell r="C8">
            <v>43739.567615740743</v>
          </cell>
          <cell r="D8" t="str">
            <v>Mubashar</v>
          </cell>
          <cell r="E8" t="str">
            <v>RCC FV to be shared</v>
          </cell>
        </row>
        <row r="9">
          <cell r="A9">
            <v>2256341</v>
          </cell>
          <cell r="B9" t="str">
            <v>OTHERS</v>
          </cell>
          <cell r="C9">
            <v>43739.580416666664</v>
          </cell>
          <cell r="D9" t="str">
            <v>Diana</v>
          </cell>
          <cell r="E9" t="str">
            <v>shortlisted</v>
          </cell>
        </row>
        <row r="10">
          <cell r="A10">
            <v>2256282</v>
          </cell>
          <cell r="B10" t="str">
            <v>OTHERS</v>
          </cell>
          <cell r="C10">
            <v>43739.584143518521</v>
          </cell>
          <cell r="D10" t="str">
            <v>Shamika</v>
          </cell>
          <cell r="E10" t="str">
            <v>discrepancy marked</v>
          </cell>
        </row>
        <row r="11">
          <cell r="A11">
            <v>2255602</v>
          </cell>
          <cell r="B11" t="str">
            <v>OTHERS</v>
          </cell>
          <cell r="C11">
            <v>43739.586655092593</v>
          </cell>
          <cell r="D11" t="str">
            <v>Shamsi</v>
          </cell>
          <cell r="E11" t="str">
            <v>RCC FV to be shared</v>
          </cell>
        </row>
        <row r="12">
          <cell r="A12">
            <v>2256090</v>
          </cell>
          <cell r="B12" t="str">
            <v>KYC DOC ISSUE</v>
          </cell>
          <cell r="C12">
            <v>43739.588333333333</v>
          </cell>
          <cell r="D12" t="str">
            <v>Mubashar</v>
          </cell>
          <cell r="E12" t="str">
            <v>Docs requested</v>
          </cell>
        </row>
        <row r="13">
          <cell r="A13">
            <v>2257004</v>
          </cell>
          <cell r="B13" t="str">
            <v>OTHERS</v>
          </cell>
          <cell r="C13">
            <v>43739.605752314812</v>
          </cell>
          <cell r="D13" t="str">
            <v>Umair</v>
          </cell>
          <cell r="E13" t="str">
            <v>RCC FV to be shared</v>
          </cell>
        </row>
        <row r="14">
          <cell r="A14">
            <v>2256844</v>
          </cell>
          <cell r="B14" t="str">
            <v>OTHERS</v>
          </cell>
          <cell r="C14">
            <v>43739.661539351851</v>
          </cell>
          <cell r="D14" t="str">
            <v>Mubashar</v>
          </cell>
          <cell r="E14" t="str">
            <v>shortlisted</v>
          </cell>
        </row>
        <row r="15">
          <cell r="A15">
            <v>2256696</v>
          </cell>
          <cell r="B15" t="str">
            <v>OTHERS</v>
          </cell>
          <cell r="C15">
            <v>43739.693449074075</v>
          </cell>
          <cell r="D15" t="str">
            <v>Shamika</v>
          </cell>
          <cell r="E15" t="str">
            <v>shortlisted</v>
          </cell>
        </row>
        <row r="16">
          <cell r="A16" t="str">
            <v>2257537+3</v>
          </cell>
          <cell r="B16" t="str">
            <v>OTHERS</v>
          </cell>
          <cell r="C16">
            <v>43740.387939814813</v>
          </cell>
          <cell r="D16" t="str">
            <v>Mubashar</v>
          </cell>
          <cell r="E16" t="str">
            <v>shortlisted</v>
          </cell>
        </row>
        <row r="17">
          <cell r="A17">
            <v>2256411</v>
          </cell>
          <cell r="B17" t="str">
            <v>OTHERS</v>
          </cell>
          <cell r="C17">
            <v>43740.4062962963</v>
          </cell>
          <cell r="D17" t="str">
            <v>Mubashar</v>
          </cell>
          <cell r="E17" t="str">
            <v>Completed</v>
          </cell>
        </row>
        <row r="18">
          <cell r="A18">
            <v>2257672</v>
          </cell>
          <cell r="B18" t="str">
            <v>OTHERS</v>
          </cell>
          <cell r="C18">
            <v>43740.417951388888</v>
          </cell>
          <cell r="D18" t="str">
            <v>Diana</v>
          </cell>
          <cell r="E18" t="str">
            <v>Completed</v>
          </cell>
        </row>
        <row r="19">
          <cell r="A19">
            <v>2257294</v>
          </cell>
          <cell r="B19" t="str">
            <v>INCOME DOC ISSUE</v>
          </cell>
          <cell r="C19">
            <v>43740.418634259258</v>
          </cell>
          <cell r="D19" t="str">
            <v>Carlo</v>
          </cell>
          <cell r="E19" t="str">
            <v>shortlisted - based on multiple sourcing</v>
          </cell>
        </row>
        <row r="20">
          <cell r="A20">
            <v>2256073</v>
          </cell>
          <cell r="B20" t="str">
            <v>INCOME DOC ISSUE</v>
          </cell>
          <cell r="C20">
            <v>43740.419398148151</v>
          </cell>
          <cell r="D20" t="str">
            <v>Shamsi</v>
          </cell>
          <cell r="E20" t="str">
            <v>shortlisted</v>
          </cell>
        </row>
        <row r="21">
          <cell r="A21">
            <v>2256298</v>
          </cell>
          <cell r="B21" t="str">
            <v>OTHERS</v>
          </cell>
          <cell r="C21">
            <v>43740.427418981482</v>
          </cell>
          <cell r="D21" t="str">
            <v>Shamsi</v>
          </cell>
          <cell r="E21" t="str">
            <v>shortlisted</v>
          </cell>
        </row>
        <row r="22">
          <cell r="A22">
            <v>2257107</v>
          </cell>
          <cell r="B22" t="str">
            <v>OTHERS</v>
          </cell>
          <cell r="C22">
            <v>43740.495150462964</v>
          </cell>
          <cell r="D22" t="str">
            <v>Agnes</v>
          </cell>
          <cell r="E22" t="str">
            <v>Completed</v>
          </cell>
        </row>
        <row r="23">
          <cell r="A23" t="str">
            <v>2257737/2250920</v>
          </cell>
          <cell r="B23" t="str">
            <v>OTHERS</v>
          </cell>
          <cell r="C23">
            <v>43740.497256944444</v>
          </cell>
          <cell r="D23" t="str">
            <v>Umair</v>
          </cell>
          <cell r="E23" t="str">
            <v>shortlisted</v>
          </cell>
        </row>
        <row r="24">
          <cell r="A24">
            <v>2257025</v>
          </cell>
          <cell r="B24" t="str">
            <v>OTHERS</v>
          </cell>
          <cell r="C24">
            <v>43740.561666666668</v>
          </cell>
          <cell r="D24" t="str">
            <v>Mubashar</v>
          </cell>
          <cell r="E24" t="str">
            <v>Completed</v>
          </cell>
        </row>
        <row r="25">
          <cell r="A25">
            <v>2256915</v>
          </cell>
          <cell r="B25" t="str">
            <v>INCOME DOC ISSUE</v>
          </cell>
          <cell r="C25">
            <v>43740.565787037034</v>
          </cell>
          <cell r="D25" t="str">
            <v>Carlo</v>
          </cell>
          <cell r="E25" t="str">
            <v>Ev by 10/06</v>
          </cell>
        </row>
        <row r="26">
          <cell r="A26">
            <v>2258226</v>
          </cell>
          <cell r="B26" t="str">
            <v>OTHERS</v>
          </cell>
          <cell r="C26">
            <v>43740.592291666668</v>
          </cell>
          <cell r="D26" t="str">
            <v>Samaleh</v>
          </cell>
          <cell r="E26" t="str">
            <v>shortlisted</v>
          </cell>
        </row>
        <row r="27">
          <cell r="A27">
            <v>2258592</v>
          </cell>
          <cell r="B27" t="str">
            <v>OTHERS</v>
          </cell>
          <cell r="C27">
            <v>43740.689259259256</v>
          </cell>
          <cell r="D27" t="str">
            <v>Agnes</v>
          </cell>
          <cell r="E27" t="str">
            <v>negated company</v>
          </cell>
        </row>
        <row r="28">
          <cell r="A28">
            <v>2257764</v>
          </cell>
          <cell r="B28" t="str">
            <v>OTHERS</v>
          </cell>
          <cell r="C28">
            <v>43740.698067129626</v>
          </cell>
          <cell r="D28" t="str">
            <v>Rajesh</v>
          </cell>
          <cell r="E28" t="str">
            <v>EV by 10/06</v>
          </cell>
        </row>
        <row r="29">
          <cell r="A29">
            <v>2257095</v>
          </cell>
          <cell r="B29" t="str">
            <v>INCOME DOC ISSUE</v>
          </cell>
          <cell r="C29">
            <v>43741.374930555554</v>
          </cell>
          <cell r="D29" t="str">
            <v>Agnes</v>
          </cell>
          <cell r="E29" t="str">
            <v>Shortlisted</v>
          </cell>
        </row>
        <row r="30">
          <cell r="A30">
            <v>2258369</v>
          </cell>
          <cell r="B30" t="str">
            <v>OTHERS</v>
          </cell>
          <cell r="C30">
            <v>43741.381111111114</v>
          </cell>
          <cell r="D30" t="str">
            <v>Carlo</v>
          </cell>
          <cell r="E30" t="str">
            <v>EV by 10/06</v>
          </cell>
        </row>
        <row r="31">
          <cell r="A31">
            <v>2257393</v>
          </cell>
          <cell r="B31" t="str">
            <v>OTHERS</v>
          </cell>
          <cell r="C31">
            <v>43741.384155092594</v>
          </cell>
          <cell r="D31" t="str">
            <v>Agnes</v>
          </cell>
          <cell r="E31" t="str">
            <v>Shortlisted</v>
          </cell>
        </row>
        <row r="32">
          <cell r="A32">
            <v>2257958</v>
          </cell>
          <cell r="B32" t="str">
            <v>OTHERS</v>
          </cell>
          <cell r="C32">
            <v>43741.409120370372</v>
          </cell>
          <cell r="D32" t="str">
            <v>Carlo</v>
          </cell>
          <cell r="E32" t="str">
            <v>RCC FV to be shared</v>
          </cell>
        </row>
        <row r="33">
          <cell r="A33">
            <v>2257747</v>
          </cell>
          <cell r="B33" t="str">
            <v>OTHERS</v>
          </cell>
          <cell r="C33">
            <v>43741.448854166665</v>
          </cell>
          <cell r="D33" t="str">
            <v>Carlo</v>
          </cell>
          <cell r="E33" t="str">
            <v>RCC FV to be shared</v>
          </cell>
        </row>
        <row r="34">
          <cell r="A34">
            <v>2257866</v>
          </cell>
          <cell r="B34" t="str">
            <v>OTHERS</v>
          </cell>
          <cell r="C34">
            <v>43741.453969907408</v>
          </cell>
          <cell r="D34" t="str">
            <v>Jomar</v>
          </cell>
          <cell r="E34" t="str">
            <v>Shortlisted</v>
          </cell>
        </row>
        <row r="35">
          <cell r="A35">
            <v>2258515</v>
          </cell>
          <cell r="B35" t="str">
            <v>OTHERS</v>
          </cell>
          <cell r="C35">
            <v>43741.460636574076</v>
          </cell>
          <cell r="D35" t="str">
            <v>Brayan</v>
          </cell>
          <cell r="E35" t="str">
            <v>Shortlisted</v>
          </cell>
        </row>
        <row r="36">
          <cell r="A36">
            <v>2257637</v>
          </cell>
          <cell r="B36" t="str">
            <v>OTHERS</v>
          </cell>
          <cell r="C36">
            <v>43741.481874999998</v>
          </cell>
          <cell r="D36" t="str">
            <v>Brayan</v>
          </cell>
          <cell r="E36" t="str">
            <v>Not Required</v>
          </cell>
        </row>
        <row r="37">
          <cell r="A37">
            <v>2258505</v>
          </cell>
          <cell r="B37" t="str">
            <v>OTHERS</v>
          </cell>
          <cell r="C37">
            <v>43741.486180555556</v>
          </cell>
          <cell r="D37" t="str">
            <v>Pravjot</v>
          </cell>
          <cell r="E37" t="str">
            <v>EV for relationship</v>
          </cell>
        </row>
        <row r="38">
          <cell r="A38">
            <v>2258578</v>
          </cell>
          <cell r="B38" t="str">
            <v>OTHERS</v>
          </cell>
          <cell r="C38">
            <v>43741.487824074073</v>
          </cell>
          <cell r="D38" t="str">
            <v>Carlo</v>
          </cell>
          <cell r="E38" t="str">
            <v>Shortlisted</v>
          </cell>
        </row>
        <row r="39">
          <cell r="A39">
            <v>2258629</v>
          </cell>
          <cell r="B39" t="str">
            <v>OTHERS</v>
          </cell>
          <cell r="C39">
            <v>43741.504513888889</v>
          </cell>
          <cell r="D39" t="str">
            <v>Jomar</v>
          </cell>
          <cell r="E39" t="str">
            <v>Not Required</v>
          </cell>
        </row>
        <row r="40">
          <cell r="A40">
            <v>2257385</v>
          </cell>
          <cell r="B40" t="str">
            <v>OTHERS</v>
          </cell>
          <cell r="C40">
            <v>43741.535231481481</v>
          </cell>
          <cell r="D40" t="str">
            <v>Carlo</v>
          </cell>
          <cell r="E40" t="str">
            <v>RCC FV to be shared</v>
          </cell>
        </row>
        <row r="41">
          <cell r="A41">
            <v>2259564</v>
          </cell>
          <cell r="B41" t="str">
            <v>OTHERS</v>
          </cell>
          <cell r="C41">
            <v>43741.560115740744</v>
          </cell>
          <cell r="D41" t="str">
            <v>Jomar</v>
          </cell>
          <cell r="E41" t="str">
            <v>Jomar to call</v>
          </cell>
        </row>
        <row r="42">
          <cell r="A42">
            <v>2260030</v>
          </cell>
          <cell r="B42" t="str">
            <v>OTHERS</v>
          </cell>
          <cell r="C42">
            <v>43741.590358796297</v>
          </cell>
          <cell r="D42" t="str">
            <v>Diana</v>
          </cell>
          <cell r="E42" t="str">
            <v>Com in decline list</v>
          </cell>
        </row>
        <row r="43">
          <cell r="A43">
            <v>2257850</v>
          </cell>
          <cell r="B43" t="str">
            <v>INCOME DOC ISSUE</v>
          </cell>
          <cell r="C43">
            <v>43741.612337962964</v>
          </cell>
          <cell r="D43" t="str">
            <v>Jomar</v>
          </cell>
          <cell r="E43" t="str">
            <v>Shortlisted</v>
          </cell>
        </row>
        <row r="44">
          <cell r="A44">
            <v>2258654</v>
          </cell>
          <cell r="B44" t="str">
            <v>OTHERS</v>
          </cell>
          <cell r="C44">
            <v>43741.623726851853</v>
          </cell>
          <cell r="D44" t="str">
            <v>Shamsi</v>
          </cell>
          <cell r="E44" t="str">
            <v>Shortlisted - disbursed</v>
          </cell>
        </row>
        <row r="45">
          <cell r="A45">
            <v>2255891</v>
          </cell>
          <cell r="B45" t="str">
            <v>OTHERS</v>
          </cell>
          <cell r="C45">
            <v>43741.661215277774</v>
          </cell>
          <cell r="D45" t="str">
            <v>Diana</v>
          </cell>
          <cell r="E45" t="str">
            <v>Com in decline list</v>
          </cell>
        </row>
        <row r="46">
          <cell r="A46">
            <v>2258187</v>
          </cell>
          <cell r="B46" t="str">
            <v>OTHERS</v>
          </cell>
          <cell r="C46">
            <v>43741.669409722221</v>
          </cell>
          <cell r="D46" t="str">
            <v>Shamsi</v>
          </cell>
          <cell r="E46" t="str">
            <v>RCC FV to be shared</v>
          </cell>
        </row>
        <row r="47">
          <cell r="A47">
            <v>2259641</v>
          </cell>
          <cell r="B47" t="str">
            <v>OTHERS</v>
          </cell>
          <cell r="C47">
            <v>43741.672233796293</v>
          </cell>
          <cell r="D47" t="str">
            <v>Brayan</v>
          </cell>
          <cell r="E47" t="str">
            <v>not Required- acc conduct good</v>
          </cell>
        </row>
        <row r="48">
          <cell r="A48">
            <v>2259807</v>
          </cell>
          <cell r="B48" t="str">
            <v>OTHERS</v>
          </cell>
          <cell r="C48">
            <v>43743.386203703703</v>
          </cell>
          <cell r="D48" t="str">
            <v>Brayan</v>
          </cell>
          <cell r="E48"/>
        </row>
        <row r="49">
          <cell r="A49">
            <v>2260213</v>
          </cell>
          <cell r="B49" t="str">
            <v>OTHERS</v>
          </cell>
          <cell r="C49">
            <v>43743.398935185185</v>
          </cell>
          <cell r="D49" t="str">
            <v>Rajesh</v>
          </cell>
          <cell r="E49"/>
        </row>
        <row r="50">
          <cell r="A50">
            <v>2260094</v>
          </cell>
          <cell r="B50" t="str">
            <v>OTHERS</v>
          </cell>
          <cell r="C50">
            <v>43743.401516203703</v>
          </cell>
          <cell r="D50" t="str">
            <v>Carlo</v>
          </cell>
          <cell r="E50"/>
        </row>
        <row r="51">
          <cell r="A51">
            <v>2260158</v>
          </cell>
          <cell r="B51" t="str">
            <v>INCOME DOC ISSUE</v>
          </cell>
          <cell r="C51">
            <v>43743.405972222223</v>
          </cell>
          <cell r="D51" t="str">
            <v>Pravjot</v>
          </cell>
          <cell r="E51"/>
        </row>
        <row r="52">
          <cell r="A52">
            <v>2259873</v>
          </cell>
          <cell r="B52" t="str">
            <v>OTHERS</v>
          </cell>
          <cell r="C52">
            <v>43743.42759259259</v>
          </cell>
          <cell r="D52" t="str">
            <v>Brayan</v>
          </cell>
          <cell r="E52"/>
        </row>
        <row r="53">
          <cell r="A53">
            <v>2260146</v>
          </cell>
          <cell r="B53" t="str">
            <v>INCOME DOC ISSUE</v>
          </cell>
          <cell r="C53">
            <v>43743.441631944443</v>
          </cell>
          <cell r="D53" t="str">
            <v>Pravjot</v>
          </cell>
          <cell r="E53"/>
        </row>
        <row r="54">
          <cell r="A54">
            <v>2258479</v>
          </cell>
          <cell r="B54" t="str">
            <v>OTHERS</v>
          </cell>
          <cell r="C54">
            <v>43743.459340277775</v>
          </cell>
          <cell r="D54" t="str">
            <v>Brayan</v>
          </cell>
          <cell r="E54"/>
        </row>
        <row r="55">
          <cell r="A55">
            <v>2258455</v>
          </cell>
          <cell r="B55" t="str">
            <v>OTHERS</v>
          </cell>
          <cell r="C55">
            <v>43743.460706018515</v>
          </cell>
          <cell r="D55" t="str">
            <v>Pravjot</v>
          </cell>
          <cell r="E55"/>
        </row>
        <row r="56">
          <cell r="A56">
            <v>2258141</v>
          </cell>
          <cell r="B56" t="str">
            <v>OTHERS</v>
          </cell>
          <cell r="C56">
            <v>43743.471365740741</v>
          </cell>
          <cell r="D56" t="str">
            <v>Agnes</v>
          </cell>
          <cell r="E56"/>
        </row>
        <row r="57">
          <cell r="A57">
            <v>2259744</v>
          </cell>
          <cell r="B57" t="str">
            <v>INCOME DOC ISSUE</v>
          </cell>
          <cell r="C57">
            <v>43743.485902777778</v>
          </cell>
          <cell r="D57" t="str">
            <v>Jomar</v>
          </cell>
          <cell r="E57"/>
        </row>
        <row r="58">
          <cell r="A58">
            <v>2255910</v>
          </cell>
          <cell r="B58" t="str">
            <v>OTHERS</v>
          </cell>
          <cell r="C58">
            <v>43743.500567129631</v>
          </cell>
          <cell r="D58" t="str">
            <v>Rajesh</v>
          </cell>
          <cell r="E58"/>
        </row>
        <row r="59">
          <cell r="A59">
            <v>2259777</v>
          </cell>
          <cell r="B59" t="str">
            <v>OTHERS</v>
          </cell>
          <cell r="C59">
            <v>43743.514201388891</v>
          </cell>
          <cell r="D59" t="str">
            <v>Rajesh</v>
          </cell>
          <cell r="E59"/>
        </row>
        <row r="60">
          <cell r="A60">
            <v>2259736</v>
          </cell>
          <cell r="B60" t="str">
            <v>OTHERS</v>
          </cell>
          <cell r="C60">
            <v>43743.520162037035</v>
          </cell>
          <cell r="D60" t="str">
            <v>Rajesh</v>
          </cell>
          <cell r="E60"/>
        </row>
        <row r="61">
          <cell r="A61">
            <v>2259659</v>
          </cell>
          <cell r="B61" t="str">
            <v>OTHERS</v>
          </cell>
          <cell r="C61">
            <v>43743.552939814814</v>
          </cell>
          <cell r="D61" t="str">
            <v>Rajesh</v>
          </cell>
          <cell r="E61"/>
        </row>
        <row r="62">
          <cell r="A62">
            <v>2259178</v>
          </cell>
          <cell r="B62" t="str">
            <v>OTHERS</v>
          </cell>
          <cell r="C62">
            <v>43743.574097222219</v>
          </cell>
          <cell r="D62" t="str">
            <v>Shamika</v>
          </cell>
          <cell r="E62"/>
        </row>
        <row r="63">
          <cell r="A63">
            <v>2259218</v>
          </cell>
          <cell r="B63" t="str">
            <v>OTHERS</v>
          </cell>
          <cell r="C63">
            <v>43743.587719907409</v>
          </cell>
          <cell r="D63" t="str">
            <v>Rajesh</v>
          </cell>
          <cell r="E63"/>
        </row>
        <row r="64">
          <cell r="A64">
            <v>2259685</v>
          </cell>
          <cell r="B64" t="str">
            <v>INCOME DOC ISSUE</v>
          </cell>
          <cell r="C64">
            <v>43743.617662037039</v>
          </cell>
          <cell r="D64" t="str">
            <v>Jomar</v>
          </cell>
          <cell r="E64"/>
        </row>
        <row r="65">
          <cell r="A65">
            <v>2259870</v>
          </cell>
          <cell r="B65" t="str">
            <v>OTHERS</v>
          </cell>
          <cell r="C65">
            <v>43743.62060185185</v>
          </cell>
          <cell r="D65" t="str">
            <v>Carlo</v>
          </cell>
          <cell r="E65"/>
        </row>
        <row r="66">
          <cell r="A66">
            <v>2261125</v>
          </cell>
          <cell r="B66" t="str">
            <v>OTHERS</v>
          </cell>
          <cell r="C66">
            <v>43743.62296296296</v>
          </cell>
          <cell r="D66" t="str">
            <v>Rajesh</v>
          </cell>
          <cell r="E66"/>
        </row>
        <row r="67">
          <cell r="A67">
            <v>2260668</v>
          </cell>
          <cell r="B67" t="str">
            <v>OTHERS</v>
          </cell>
          <cell r="C67">
            <v>43743.639409722222</v>
          </cell>
          <cell r="D67" t="str">
            <v>Rajesh</v>
          </cell>
          <cell r="E67"/>
        </row>
        <row r="68">
          <cell r="A68">
            <v>2261077</v>
          </cell>
          <cell r="B68" t="str">
            <v>OTHERS</v>
          </cell>
          <cell r="C68">
            <v>43743.645104166666</v>
          </cell>
          <cell r="D68" t="str">
            <v>Brayan</v>
          </cell>
          <cell r="E68"/>
        </row>
        <row r="69">
          <cell r="A69">
            <v>2259716</v>
          </cell>
          <cell r="B69" t="str">
            <v>OTHERS</v>
          </cell>
          <cell r="C69">
            <v>43743.662002314813</v>
          </cell>
          <cell r="D69" t="str">
            <v>Brayan</v>
          </cell>
          <cell r="E69"/>
        </row>
        <row r="70">
          <cell r="A70">
            <v>2260612</v>
          </cell>
          <cell r="B70" t="str">
            <v>OTHERS</v>
          </cell>
          <cell r="C70">
            <v>43743.677951388891</v>
          </cell>
          <cell r="D70" t="str">
            <v>Shamika</v>
          </cell>
          <cell r="E70"/>
        </row>
        <row r="71">
          <cell r="A71"/>
          <cell r="B71"/>
          <cell r="C71"/>
          <cell r="D71"/>
          <cell r="E71"/>
        </row>
        <row r="72">
          <cell r="A72"/>
          <cell r="B72"/>
          <cell r="C72"/>
          <cell r="D72"/>
          <cell r="E72"/>
        </row>
        <row r="73">
          <cell r="A73"/>
          <cell r="B73"/>
          <cell r="C73"/>
          <cell r="D73"/>
          <cell r="E73"/>
        </row>
        <row r="74">
          <cell r="A74"/>
          <cell r="B74"/>
          <cell r="C74"/>
          <cell r="D74"/>
          <cell r="E74"/>
        </row>
        <row r="75">
          <cell r="A75"/>
          <cell r="B75"/>
          <cell r="C75"/>
          <cell r="D75"/>
          <cell r="E75"/>
        </row>
        <row r="76">
          <cell r="A76"/>
          <cell r="B76"/>
          <cell r="C76"/>
          <cell r="D76"/>
          <cell r="E76"/>
        </row>
        <row r="77">
          <cell r="A77"/>
          <cell r="B77"/>
          <cell r="C77"/>
          <cell r="D77"/>
          <cell r="E77"/>
        </row>
        <row r="78">
          <cell r="A78"/>
          <cell r="B78"/>
          <cell r="C78"/>
          <cell r="D78"/>
          <cell r="E78"/>
        </row>
        <row r="79">
          <cell r="A79"/>
          <cell r="B79"/>
          <cell r="C79"/>
          <cell r="D79"/>
          <cell r="E79"/>
        </row>
        <row r="80">
          <cell r="A80"/>
          <cell r="B80"/>
          <cell r="C80"/>
          <cell r="D80"/>
          <cell r="E80"/>
        </row>
        <row r="81">
          <cell r="A81"/>
          <cell r="B81"/>
          <cell r="C81"/>
          <cell r="D81"/>
          <cell r="E81"/>
        </row>
        <row r="82">
          <cell r="A82"/>
          <cell r="B82"/>
          <cell r="C82"/>
          <cell r="D82"/>
          <cell r="E82"/>
        </row>
        <row r="83">
          <cell r="A83"/>
          <cell r="B83"/>
          <cell r="C83"/>
          <cell r="D83"/>
          <cell r="E83"/>
        </row>
        <row r="84">
          <cell r="A84"/>
          <cell r="B84"/>
          <cell r="C84"/>
          <cell r="D84"/>
          <cell r="E84"/>
        </row>
        <row r="85">
          <cell r="A85"/>
          <cell r="B85"/>
          <cell r="C85"/>
          <cell r="D85"/>
          <cell r="E85"/>
        </row>
        <row r="86">
          <cell r="A86"/>
          <cell r="B86"/>
          <cell r="C86"/>
          <cell r="D86"/>
          <cell r="E86"/>
        </row>
        <row r="87">
          <cell r="A87"/>
          <cell r="B87"/>
          <cell r="C87"/>
          <cell r="D87"/>
          <cell r="E87"/>
        </row>
        <row r="88">
          <cell r="A88"/>
          <cell r="B88"/>
          <cell r="C88"/>
          <cell r="D88"/>
          <cell r="E88"/>
        </row>
        <row r="89">
          <cell r="A89"/>
          <cell r="B89"/>
          <cell r="C89"/>
          <cell r="D89"/>
          <cell r="E89"/>
        </row>
        <row r="90">
          <cell r="A90"/>
          <cell r="B90"/>
          <cell r="C90"/>
          <cell r="D90"/>
          <cell r="E90"/>
        </row>
        <row r="91">
          <cell r="A91"/>
          <cell r="B91"/>
          <cell r="C91"/>
          <cell r="D91"/>
          <cell r="E91"/>
        </row>
        <row r="92">
          <cell r="A92"/>
          <cell r="B92"/>
          <cell r="C92"/>
          <cell r="D92"/>
          <cell r="E92"/>
        </row>
        <row r="93">
          <cell r="A93"/>
          <cell r="B93"/>
          <cell r="C93"/>
          <cell r="D93"/>
          <cell r="E93"/>
        </row>
        <row r="94">
          <cell r="A94"/>
          <cell r="B94"/>
          <cell r="C94"/>
          <cell r="D94"/>
          <cell r="E94"/>
        </row>
        <row r="95">
          <cell r="A95"/>
          <cell r="B95"/>
          <cell r="C95"/>
          <cell r="D95"/>
          <cell r="E95"/>
        </row>
        <row r="96">
          <cell r="A96"/>
          <cell r="B96"/>
          <cell r="C96"/>
          <cell r="D96"/>
          <cell r="E96"/>
        </row>
        <row r="97">
          <cell r="A97"/>
          <cell r="B97"/>
          <cell r="C97"/>
          <cell r="D97"/>
          <cell r="E97"/>
        </row>
        <row r="98">
          <cell r="A98"/>
          <cell r="B98"/>
          <cell r="C98"/>
          <cell r="D98"/>
          <cell r="E98"/>
        </row>
        <row r="99">
          <cell r="A99"/>
          <cell r="B99"/>
          <cell r="C99"/>
          <cell r="D99"/>
          <cell r="E99"/>
        </row>
        <row r="100">
          <cell r="A100"/>
          <cell r="B100"/>
          <cell r="C100"/>
          <cell r="D100"/>
          <cell r="E100"/>
        </row>
        <row r="101">
          <cell r="A101"/>
          <cell r="B101"/>
          <cell r="C101"/>
          <cell r="D101"/>
          <cell r="E101"/>
        </row>
        <row r="102">
          <cell r="A102"/>
          <cell r="B102"/>
          <cell r="C102"/>
          <cell r="D102"/>
          <cell r="E102"/>
        </row>
        <row r="103">
          <cell r="A103"/>
          <cell r="B103"/>
          <cell r="C103"/>
          <cell r="D103"/>
          <cell r="E103"/>
        </row>
        <row r="104">
          <cell r="A104"/>
          <cell r="B104"/>
          <cell r="C104"/>
          <cell r="D104"/>
          <cell r="E104"/>
        </row>
        <row r="105">
          <cell r="A105"/>
          <cell r="B105"/>
          <cell r="C105"/>
          <cell r="D105"/>
          <cell r="E105"/>
        </row>
        <row r="106">
          <cell r="A106"/>
          <cell r="B106"/>
          <cell r="C106"/>
          <cell r="D106"/>
          <cell r="E106"/>
        </row>
        <row r="107">
          <cell r="A107"/>
          <cell r="B107"/>
          <cell r="C107"/>
          <cell r="D107"/>
          <cell r="E107"/>
        </row>
        <row r="108">
          <cell r="A108"/>
          <cell r="B108"/>
          <cell r="C108"/>
          <cell r="D108"/>
          <cell r="E108"/>
        </row>
        <row r="109">
          <cell r="A109"/>
          <cell r="B109"/>
          <cell r="C109"/>
          <cell r="D109"/>
          <cell r="E109"/>
        </row>
        <row r="110">
          <cell r="A110"/>
          <cell r="B110"/>
          <cell r="C110"/>
          <cell r="D110"/>
          <cell r="E110"/>
        </row>
        <row r="111">
          <cell r="A111"/>
          <cell r="B111"/>
          <cell r="C111"/>
          <cell r="D111"/>
          <cell r="E111"/>
        </row>
        <row r="112">
          <cell r="A112"/>
          <cell r="B112"/>
          <cell r="C112"/>
          <cell r="D112"/>
          <cell r="E112"/>
        </row>
        <row r="113">
          <cell r="A113"/>
          <cell r="B113"/>
          <cell r="C113"/>
          <cell r="D113"/>
          <cell r="E113"/>
        </row>
        <row r="114">
          <cell r="A114"/>
          <cell r="B114"/>
          <cell r="C114"/>
          <cell r="D114"/>
          <cell r="E114"/>
        </row>
        <row r="115">
          <cell r="A115"/>
          <cell r="B115"/>
          <cell r="C115"/>
          <cell r="D115"/>
          <cell r="E115"/>
        </row>
        <row r="116">
          <cell r="A116"/>
          <cell r="B116"/>
          <cell r="C116"/>
          <cell r="D116"/>
          <cell r="E116"/>
        </row>
        <row r="117">
          <cell r="A117"/>
          <cell r="B117"/>
          <cell r="C117"/>
          <cell r="D117"/>
          <cell r="E117"/>
        </row>
        <row r="118">
          <cell r="A118"/>
          <cell r="B118"/>
          <cell r="C118"/>
          <cell r="D118"/>
          <cell r="E118"/>
        </row>
        <row r="119">
          <cell r="A119"/>
          <cell r="B119"/>
          <cell r="C119"/>
          <cell r="D119"/>
          <cell r="E119"/>
        </row>
        <row r="120">
          <cell r="A120"/>
          <cell r="B120"/>
          <cell r="C120"/>
          <cell r="D120"/>
          <cell r="E120"/>
        </row>
        <row r="121">
          <cell r="A121"/>
          <cell r="B121"/>
          <cell r="C121"/>
          <cell r="D121"/>
          <cell r="E121"/>
        </row>
        <row r="122">
          <cell r="A122"/>
          <cell r="B122"/>
          <cell r="C122"/>
          <cell r="D122"/>
          <cell r="E122"/>
        </row>
        <row r="123">
          <cell r="A123"/>
          <cell r="B123"/>
          <cell r="C123"/>
          <cell r="D123"/>
          <cell r="E123"/>
        </row>
        <row r="124">
          <cell r="A124"/>
          <cell r="B124"/>
          <cell r="C124"/>
          <cell r="D124"/>
          <cell r="E124"/>
        </row>
        <row r="125">
          <cell r="A125"/>
          <cell r="B125"/>
          <cell r="C125"/>
          <cell r="D125"/>
          <cell r="E125"/>
        </row>
        <row r="126">
          <cell r="A126"/>
          <cell r="B126"/>
          <cell r="C126"/>
          <cell r="D126"/>
          <cell r="E126"/>
        </row>
        <row r="127">
          <cell r="A127"/>
          <cell r="B127"/>
          <cell r="C127"/>
          <cell r="D127"/>
          <cell r="E127"/>
        </row>
        <row r="128">
          <cell r="A128"/>
          <cell r="B128"/>
          <cell r="C128"/>
          <cell r="D128"/>
          <cell r="E128"/>
        </row>
        <row r="129">
          <cell r="A129"/>
          <cell r="B129"/>
          <cell r="C129"/>
          <cell r="D129"/>
          <cell r="E129"/>
        </row>
        <row r="130">
          <cell r="A130"/>
          <cell r="B130"/>
          <cell r="C130"/>
          <cell r="D130"/>
          <cell r="E130"/>
        </row>
        <row r="131">
          <cell r="A131"/>
          <cell r="B131"/>
          <cell r="C131"/>
          <cell r="D131"/>
          <cell r="E131"/>
        </row>
        <row r="132">
          <cell r="A132"/>
          <cell r="B132"/>
          <cell r="C132"/>
          <cell r="D132"/>
          <cell r="E132"/>
        </row>
        <row r="133">
          <cell r="A133"/>
          <cell r="B133"/>
          <cell r="C133"/>
          <cell r="D133"/>
          <cell r="E133"/>
        </row>
        <row r="134">
          <cell r="A134"/>
          <cell r="B134"/>
          <cell r="C134"/>
          <cell r="D134"/>
          <cell r="E134"/>
        </row>
        <row r="135">
          <cell r="A135"/>
          <cell r="B135"/>
          <cell r="C135"/>
          <cell r="D135"/>
          <cell r="E135"/>
        </row>
        <row r="136">
          <cell r="A136"/>
          <cell r="B136"/>
          <cell r="C136"/>
          <cell r="D136"/>
          <cell r="E136"/>
        </row>
        <row r="137">
          <cell r="A137"/>
          <cell r="B137"/>
          <cell r="C137"/>
          <cell r="D137"/>
          <cell r="E137"/>
        </row>
        <row r="138">
          <cell r="A138"/>
          <cell r="B138"/>
          <cell r="C138"/>
          <cell r="D138"/>
          <cell r="E138"/>
        </row>
        <row r="139">
          <cell r="A139"/>
          <cell r="B139"/>
          <cell r="C139"/>
          <cell r="D139"/>
          <cell r="E139"/>
        </row>
        <row r="140">
          <cell r="A140"/>
          <cell r="B140"/>
          <cell r="C140"/>
          <cell r="D140"/>
          <cell r="E140"/>
        </row>
        <row r="141">
          <cell r="A141"/>
          <cell r="B141"/>
          <cell r="C141"/>
          <cell r="D141"/>
          <cell r="E141"/>
        </row>
        <row r="142">
          <cell r="A142"/>
          <cell r="B142"/>
          <cell r="C142"/>
          <cell r="D142"/>
          <cell r="E142"/>
        </row>
        <row r="143">
          <cell r="A143"/>
          <cell r="B143"/>
          <cell r="C143"/>
          <cell r="D143"/>
          <cell r="E143"/>
        </row>
        <row r="144">
          <cell r="A144"/>
          <cell r="B144"/>
          <cell r="C144"/>
          <cell r="D144"/>
          <cell r="E144"/>
        </row>
        <row r="145">
          <cell r="A145"/>
          <cell r="B145"/>
          <cell r="C145"/>
          <cell r="D145"/>
          <cell r="E145"/>
        </row>
        <row r="146">
          <cell r="A146"/>
          <cell r="B146"/>
          <cell r="C146"/>
          <cell r="D146"/>
          <cell r="E146"/>
        </row>
        <row r="147">
          <cell r="A147"/>
          <cell r="B147"/>
          <cell r="C147"/>
          <cell r="D147"/>
          <cell r="E147"/>
        </row>
        <row r="148">
          <cell r="A148"/>
          <cell r="B148"/>
          <cell r="C148"/>
          <cell r="D148"/>
          <cell r="E148"/>
        </row>
        <row r="149">
          <cell r="A149"/>
          <cell r="B149"/>
          <cell r="C149"/>
          <cell r="D149"/>
          <cell r="E149"/>
        </row>
        <row r="150">
          <cell r="A150"/>
          <cell r="B150"/>
          <cell r="C150"/>
          <cell r="D150"/>
          <cell r="E150"/>
        </row>
        <row r="151">
          <cell r="A151"/>
          <cell r="B151"/>
          <cell r="C151"/>
          <cell r="D151"/>
          <cell r="E151"/>
        </row>
        <row r="152">
          <cell r="A152"/>
          <cell r="B152"/>
          <cell r="C152"/>
          <cell r="D152"/>
          <cell r="E152"/>
        </row>
        <row r="153">
          <cell r="A153"/>
          <cell r="B153"/>
          <cell r="C153"/>
          <cell r="D153"/>
          <cell r="E153"/>
        </row>
        <row r="154">
          <cell r="A154"/>
          <cell r="B154"/>
          <cell r="C154"/>
          <cell r="D154"/>
          <cell r="E154"/>
        </row>
        <row r="155">
          <cell r="A155"/>
          <cell r="B155"/>
          <cell r="C155"/>
          <cell r="D155"/>
          <cell r="E155"/>
        </row>
        <row r="156">
          <cell r="A156"/>
          <cell r="B156"/>
          <cell r="C156"/>
          <cell r="D156"/>
          <cell r="E156"/>
        </row>
        <row r="157">
          <cell r="A157"/>
          <cell r="B157"/>
          <cell r="C157"/>
          <cell r="D157"/>
          <cell r="E157"/>
        </row>
        <row r="158">
          <cell r="A158"/>
          <cell r="B158"/>
          <cell r="C158"/>
          <cell r="D158"/>
          <cell r="E158"/>
        </row>
        <row r="159">
          <cell r="A159"/>
          <cell r="B159"/>
          <cell r="C159"/>
          <cell r="D159"/>
          <cell r="E159"/>
        </row>
        <row r="160">
          <cell r="A160"/>
          <cell r="B160"/>
          <cell r="C160"/>
          <cell r="D160"/>
          <cell r="E160"/>
        </row>
        <row r="161">
          <cell r="A161"/>
          <cell r="B161"/>
          <cell r="C161"/>
          <cell r="D161"/>
          <cell r="E161"/>
        </row>
        <row r="162">
          <cell r="A162"/>
          <cell r="B162"/>
          <cell r="C162"/>
          <cell r="D162"/>
          <cell r="E162"/>
        </row>
        <row r="163">
          <cell r="A163"/>
          <cell r="B163"/>
          <cell r="C163"/>
          <cell r="D163"/>
          <cell r="E163"/>
        </row>
        <row r="164">
          <cell r="A164"/>
          <cell r="B164"/>
          <cell r="C164"/>
          <cell r="D164"/>
          <cell r="E164"/>
        </row>
        <row r="165">
          <cell r="A165"/>
          <cell r="B165"/>
          <cell r="C165"/>
          <cell r="D165"/>
          <cell r="E165"/>
        </row>
        <row r="166">
          <cell r="A166"/>
          <cell r="B166"/>
          <cell r="C166"/>
          <cell r="D166"/>
          <cell r="E166"/>
        </row>
        <row r="167">
          <cell r="A167"/>
          <cell r="B167"/>
          <cell r="C167"/>
          <cell r="D167"/>
          <cell r="E167"/>
        </row>
        <row r="168">
          <cell r="A168"/>
          <cell r="B168"/>
          <cell r="C168"/>
          <cell r="D168"/>
          <cell r="E168"/>
        </row>
        <row r="169">
          <cell r="A169"/>
          <cell r="B169"/>
          <cell r="C169"/>
          <cell r="D169"/>
          <cell r="E169"/>
        </row>
        <row r="170">
          <cell r="A170"/>
          <cell r="B170"/>
          <cell r="C170"/>
          <cell r="D170"/>
          <cell r="E170"/>
        </row>
        <row r="171">
          <cell r="A171"/>
          <cell r="B171"/>
          <cell r="C171"/>
          <cell r="D171"/>
          <cell r="E171"/>
        </row>
        <row r="172">
          <cell r="A172"/>
          <cell r="B172"/>
          <cell r="C172"/>
          <cell r="D172"/>
          <cell r="E172"/>
        </row>
        <row r="173">
          <cell r="A173"/>
          <cell r="B173"/>
          <cell r="C173"/>
          <cell r="D173"/>
          <cell r="E173"/>
        </row>
        <row r="174">
          <cell r="A174"/>
          <cell r="B174"/>
          <cell r="C174"/>
          <cell r="D174"/>
          <cell r="E174"/>
        </row>
        <row r="175">
          <cell r="A175"/>
          <cell r="B175"/>
          <cell r="C175"/>
          <cell r="D175"/>
          <cell r="E175"/>
        </row>
        <row r="176">
          <cell r="A176"/>
          <cell r="B176"/>
          <cell r="C176"/>
          <cell r="D176"/>
          <cell r="E176"/>
        </row>
        <row r="177">
          <cell r="A177"/>
          <cell r="B177"/>
          <cell r="C177"/>
          <cell r="D177"/>
          <cell r="E177"/>
        </row>
        <row r="178">
          <cell r="A178"/>
          <cell r="B178"/>
          <cell r="C178"/>
          <cell r="D178"/>
          <cell r="E178"/>
        </row>
        <row r="179">
          <cell r="A179"/>
          <cell r="B179"/>
          <cell r="C179"/>
          <cell r="D179"/>
          <cell r="E179"/>
        </row>
        <row r="180">
          <cell r="A180"/>
          <cell r="B180"/>
          <cell r="C180"/>
          <cell r="D180"/>
          <cell r="E180"/>
        </row>
        <row r="181">
          <cell r="A181"/>
          <cell r="B181"/>
          <cell r="C181"/>
          <cell r="D181"/>
          <cell r="E181"/>
        </row>
        <row r="182">
          <cell r="A182"/>
          <cell r="B182"/>
          <cell r="C182"/>
          <cell r="D182"/>
          <cell r="E182"/>
        </row>
        <row r="183">
          <cell r="A183"/>
          <cell r="B183"/>
          <cell r="C183"/>
          <cell r="D183"/>
          <cell r="E183"/>
        </row>
        <row r="184">
          <cell r="A184"/>
          <cell r="B184"/>
          <cell r="C184"/>
          <cell r="D184"/>
          <cell r="E184"/>
        </row>
        <row r="185">
          <cell r="A185"/>
          <cell r="B185"/>
          <cell r="C185"/>
          <cell r="D185"/>
          <cell r="E185"/>
        </row>
        <row r="186">
          <cell r="A186"/>
          <cell r="B186"/>
          <cell r="C186"/>
          <cell r="D186"/>
          <cell r="E186"/>
        </row>
        <row r="187">
          <cell r="A187"/>
          <cell r="B187"/>
          <cell r="C187"/>
          <cell r="D187"/>
          <cell r="E187"/>
        </row>
        <row r="188">
          <cell r="A188"/>
          <cell r="B188"/>
          <cell r="C188"/>
          <cell r="D188"/>
          <cell r="E188"/>
        </row>
        <row r="189">
          <cell r="A189"/>
          <cell r="B189"/>
          <cell r="C189"/>
          <cell r="D189"/>
          <cell r="E189"/>
        </row>
        <row r="190">
          <cell r="A190"/>
          <cell r="B190"/>
          <cell r="C190"/>
          <cell r="D190"/>
          <cell r="E190"/>
        </row>
        <row r="191">
          <cell r="A191"/>
          <cell r="B191"/>
          <cell r="C191"/>
          <cell r="D191"/>
          <cell r="E191"/>
        </row>
        <row r="192">
          <cell r="A192"/>
          <cell r="B192"/>
          <cell r="C192"/>
          <cell r="D192"/>
          <cell r="E192"/>
        </row>
        <row r="193">
          <cell r="A193"/>
          <cell r="B193"/>
          <cell r="C193"/>
          <cell r="D193"/>
          <cell r="E193"/>
        </row>
        <row r="194">
          <cell r="A194"/>
          <cell r="B194"/>
          <cell r="C194"/>
          <cell r="D194"/>
          <cell r="E194"/>
        </row>
        <row r="195">
          <cell r="A195"/>
          <cell r="B195"/>
          <cell r="C195"/>
          <cell r="D195"/>
          <cell r="E195"/>
        </row>
        <row r="196">
          <cell r="A196"/>
          <cell r="B196"/>
          <cell r="C196"/>
          <cell r="D196"/>
          <cell r="E196"/>
        </row>
        <row r="197">
          <cell r="A197"/>
          <cell r="B197"/>
          <cell r="C197"/>
          <cell r="D197"/>
          <cell r="E197"/>
        </row>
        <row r="198">
          <cell r="A198"/>
          <cell r="B198"/>
          <cell r="C198"/>
          <cell r="D198"/>
          <cell r="E198"/>
        </row>
        <row r="199">
          <cell r="A199"/>
          <cell r="B199"/>
          <cell r="C199"/>
          <cell r="D199"/>
          <cell r="E199"/>
        </row>
        <row r="200">
          <cell r="A200"/>
          <cell r="B200"/>
          <cell r="C200"/>
          <cell r="D200"/>
          <cell r="E200"/>
        </row>
        <row r="201">
          <cell r="A201"/>
          <cell r="B201"/>
          <cell r="C201"/>
          <cell r="D201"/>
          <cell r="E201"/>
        </row>
        <row r="202">
          <cell r="A202"/>
          <cell r="B202"/>
          <cell r="C202"/>
          <cell r="D202"/>
          <cell r="E202"/>
        </row>
        <row r="203">
          <cell r="A203"/>
          <cell r="B203"/>
          <cell r="C203"/>
          <cell r="D203"/>
          <cell r="E203"/>
        </row>
        <row r="204">
          <cell r="A204"/>
          <cell r="B204"/>
          <cell r="C204"/>
          <cell r="D204"/>
          <cell r="E204"/>
        </row>
        <row r="205">
          <cell r="A205"/>
          <cell r="B205"/>
          <cell r="C205"/>
          <cell r="D205"/>
          <cell r="E205"/>
        </row>
        <row r="206">
          <cell r="A206"/>
          <cell r="B206"/>
          <cell r="C206"/>
          <cell r="D206"/>
          <cell r="E206"/>
        </row>
        <row r="207">
          <cell r="A207"/>
          <cell r="B207"/>
          <cell r="C207"/>
          <cell r="D207"/>
          <cell r="E207"/>
        </row>
        <row r="208">
          <cell r="A208"/>
          <cell r="B208"/>
          <cell r="C208"/>
          <cell r="D208"/>
          <cell r="E208"/>
        </row>
        <row r="209">
          <cell r="A209"/>
          <cell r="B209"/>
          <cell r="C209"/>
          <cell r="D209"/>
          <cell r="E209"/>
        </row>
        <row r="210">
          <cell r="A210"/>
          <cell r="B210"/>
          <cell r="C210"/>
          <cell r="D210"/>
          <cell r="E210"/>
        </row>
        <row r="211">
          <cell r="A211"/>
          <cell r="B211"/>
          <cell r="C211"/>
          <cell r="D211"/>
          <cell r="E211"/>
        </row>
        <row r="212">
          <cell r="A212"/>
          <cell r="B212"/>
          <cell r="C212"/>
          <cell r="D212"/>
          <cell r="E212"/>
        </row>
        <row r="213">
          <cell r="A213"/>
          <cell r="B213"/>
          <cell r="C213"/>
          <cell r="D213"/>
          <cell r="E213"/>
        </row>
        <row r="214">
          <cell r="A214"/>
          <cell r="B214"/>
          <cell r="C214"/>
          <cell r="D214"/>
          <cell r="E214"/>
        </row>
        <row r="215">
          <cell r="A215"/>
          <cell r="B215"/>
          <cell r="C215"/>
          <cell r="D215"/>
          <cell r="E215"/>
        </row>
        <row r="216">
          <cell r="A216"/>
          <cell r="B216"/>
          <cell r="C216"/>
          <cell r="D216"/>
          <cell r="E216"/>
        </row>
        <row r="217">
          <cell r="A217"/>
          <cell r="B217"/>
          <cell r="C217"/>
          <cell r="D217"/>
          <cell r="E217"/>
        </row>
        <row r="218">
          <cell r="A218"/>
          <cell r="B218"/>
          <cell r="C218"/>
          <cell r="D218"/>
          <cell r="E218"/>
        </row>
        <row r="219">
          <cell r="A219"/>
          <cell r="B219"/>
          <cell r="C219"/>
          <cell r="D219"/>
          <cell r="E219"/>
        </row>
        <row r="220">
          <cell r="A220"/>
          <cell r="B220"/>
          <cell r="C220"/>
          <cell r="D220"/>
          <cell r="E220"/>
        </row>
        <row r="221">
          <cell r="A221"/>
          <cell r="B221"/>
          <cell r="C221"/>
          <cell r="D221"/>
          <cell r="E221"/>
        </row>
        <row r="222">
          <cell r="A222"/>
          <cell r="B222"/>
          <cell r="C222"/>
          <cell r="D222"/>
          <cell r="E222"/>
        </row>
        <row r="223">
          <cell r="A223"/>
          <cell r="B223"/>
          <cell r="C223"/>
          <cell r="D223"/>
          <cell r="E223"/>
        </row>
        <row r="224">
          <cell r="A224"/>
          <cell r="B224"/>
          <cell r="C224"/>
          <cell r="D224"/>
          <cell r="E224"/>
        </row>
        <row r="225">
          <cell r="A225"/>
          <cell r="B225"/>
          <cell r="C225"/>
          <cell r="D225"/>
          <cell r="E225"/>
        </row>
        <row r="226">
          <cell r="A226"/>
          <cell r="B226"/>
          <cell r="C226"/>
          <cell r="D226"/>
          <cell r="E226"/>
        </row>
        <row r="227">
          <cell r="A227"/>
          <cell r="B227"/>
          <cell r="C227"/>
          <cell r="D227"/>
          <cell r="E227"/>
        </row>
        <row r="228">
          <cell r="A228"/>
          <cell r="B228"/>
          <cell r="C228"/>
          <cell r="D228"/>
          <cell r="E228"/>
        </row>
        <row r="229">
          <cell r="A229"/>
          <cell r="B229"/>
          <cell r="C229"/>
          <cell r="D229"/>
          <cell r="E229"/>
        </row>
        <row r="230">
          <cell r="A230"/>
          <cell r="B230"/>
          <cell r="C230"/>
          <cell r="D230"/>
          <cell r="E230"/>
        </row>
        <row r="231">
          <cell r="A231"/>
          <cell r="B231"/>
          <cell r="C231"/>
          <cell r="D231"/>
          <cell r="E231"/>
        </row>
        <row r="232">
          <cell r="A232"/>
          <cell r="B232"/>
          <cell r="C232"/>
          <cell r="D232"/>
          <cell r="E232"/>
        </row>
        <row r="233">
          <cell r="A233"/>
          <cell r="B233"/>
          <cell r="C233"/>
          <cell r="D233"/>
          <cell r="E233"/>
        </row>
        <row r="234">
          <cell r="A234"/>
          <cell r="B234"/>
          <cell r="C234"/>
          <cell r="D234"/>
          <cell r="E234"/>
        </row>
        <row r="235">
          <cell r="A235"/>
          <cell r="B235"/>
          <cell r="C235"/>
          <cell r="D235"/>
          <cell r="E235"/>
        </row>
        <row r="236">
          <cell r="A236"/>
          <cell r="B236"/>
          <cell r="C236"/>
          <cell r="D236"/>
          <cell r="E236"/>
        </row>
        <row r="237">
          <cell r="A237"/>
          <cell r="B237"/>
          <cell r="C237"/>
          <cell r="D237"/>
          <cell r="E237"/>
        </row>
        <row r="238">
          <cell r="A238"/>
          <cell r="B238"/>
          <cell r="C238"/>
          <cell r="D238"/>
          <cell r="E238"/>
        </row>
        <row r="239">
          <cell r="A239"/>
          <cell r="B239"/>
          <cell r="C239"/>
          <cell r="D239"/>
          <cell r="E239"/>
        </row>
        <row r="240">
          <cell r="A240"/>
          <cell r="B240"/>
          <cell r="C240"/>
          <cell r="D240"/>
          <cell r="E240"/>
        </row>
        <row r="241">
          <cell r="A241"/>
          <cell r="B241"/>
          <cell r="C241"/>
          <cell r="D241"/>
          <cell r="E241"/>
        </row>
        <row r="242">
          <cell r="A242"/>
          <cell r="B242"/>
          <cell r="C242"/>
          <cell r="D242"/>
          <cell r="E242"/>
        </row>
        <row r="243">
          <cell r="A243"/>
          <cell r="B243"/>
          <cell r="C243"/>
          <cell r="D243"/>
          <cell r="E243"/>
        </row>
        <row r="244">
          <cell r="A244"/>
          <cell r="B244"/>
          <cell r="C244"/>
          <cell r="D244"/>
          <cell r="E244"/>
        </row>
        <row r="245">
          <cell r="A245"/>
          <cell r="B245"/>
          <cell r="C245"/>
          <cell r="D245"/>
          <cell r="E245"/>
        </row>
        <row r="246">
          <cell r="A246"/>
          <cell r="B246"/>
          <cell r="C246"/>
          <cell r="D246"/>
          <cell r="E246"/>
        </row>
        <row r="247">
          <cell r="A247"/>
          <cell r="B247"/>
          <cell r="C247"/>
          <cell r="D247"/>
          <cell r="E247"/>
        </row>
        <row r="248">
          <cell r="A248"/>
          <cell r="B248"/>
          <cell r="C248"/>
          <cell r="D248"/>
          <cell r="E248"/>
        </row>
        <row r="249">
          <cell r="A249"/>
          <cell r="B249"/>
          <cell r="C249"/>
          <cell r="D249"/>
          <cell r="E249"/>
        </row>
        <row r="250">
          <cell r="A250"/>
          <cell r="B250"/>
          <cell r="C250"/>
          <cell r="D250"/>
          <cell r="E250"/>
        </row>
        <row r="251">
          <cell r="A251"/>
          <cell r="B251"/>
          <cell r="C251"/>
          <cell r="D251"/>
          <cell r="E251"/>
        </row>
        <row r="252">
          <cell r="A252"/>
          <cell r="B252"/>
          <cell r="C252"/>
          <cell r="D252"/>
          <cell r="E252"/>
        </row>
        <row r="253">
          <cell r="A253"/>
          <cell r="B253"/>
          <cell r="C253"/>
          <cell r="D253"/>
          <cell r="E253"/>
        </row>
        <row r="254">
          <cell r="A254"/>
          <cell r="B254"/>
          <cell r="C254"/>
          <cell r="D254"/>
          <cell r="E254"/>
        </row>
        <row r="255">
          <cell r="A255"/>
          <cell r="B255"/>
          <cell r="C255"/>
          <cell r="D255"/>
          <cell r="E255"/>
        </row>
        <row r="256">
          <cell r="A256"/>
          <cell r="B256"/>
          <cell r="C256"/>
          <cell r="D256"/>
          <cell r="E256"/>
        </row>
        <row r="257">
          <cell r="A257"/>
          <cell r="B257"/>
          <cell r="C257"/>
          <cell r="D257"/>
          <cell r="E257"/>
        </row>
        <row r="258">
          <cell r="A258"/>
          <cell r="B258"/>
          <cell r="C258"/>
          <cell r="D258"/>
          <cell r="E258"/>
        </row>
        <row r="259">
          <cell r="A259"/>
          <cell r="B259"/>
          <cell r="C259"/>
          <cell r="D259"/>
          <cell r="E259"/>
        </row>
        <row r="260">
          <cell r="A260"/>
          <cell r="B260"/>
          <cell r="C260"/>
          <cell r="D260"/>
          <cell r="E260"/>
        </row>
        <row r="261">
          <cell r="A261"/>
          <cell r="B261"/>
          <cell r="C261"/>
          <cell r="D261"/>
          <cell r="E261"/>
        </row>
        <row r="262">
          <cell r="A262"/>
          <cell r="B262"/>
          <cell r="C262"/>
          <cell r="D262"/>
          <cell r="E262"/>
        </row>
        <row r="263">
          <cell r="A263"/>
          <cell r="B263"/>
          <cell r="C263"/>
          <cell r="D263"/>
          <cell r="E263"/>
        </row>
        <row r="264">
          <cell r="A264"/>
          <cell r="B264"/>
          <cell r="C264"/>
          <cell r="D264"/>
          <cell r="E264"/>
        </row>
        <row r="265">
          <cell r="A265"/>
          <cell r="B265"/>
          <cell r="C265"/>
          <cell r="D265"/>
          <cell r="E265"/>
        </row>
        <row r="266">
          <cell r="A266"/>
          <cell r="B266"/>
          <cell r="C266"/>
          <cell r="D266"/>
          <cell r="E266"/>
        </row>
        <row r="267">
          <cell r="A267"/>
          <cell r="B267"/>
          <cell r="C267"/>
          <cell r="D267"/>
          <cell r="E267"/>
        </row>
        <row r="268">
          <cell r="A268"/>
          <cell r="B268"/>
          <cell r="C268"/>
          <cell r="D268"/>
          <cell r="E268"/>
        </row>
        <row r="269">
          <cell r="A269"/>
          <cell r="B269"/>
          <cell r="C269"/>
          <cell r="D269"/>
          <cell r="E269"/>
        </row>
        <row r="270">
          <cell r="A270"/>
          <cell r="B270"/>
          <cell r="C270"/>
          <cell r="D270"/>
          <cell r="E270"/>
        </row>
        <row r="271">
          <cell r="A271"/>
          <cell r="B271"/>
          <cell r="C271"/>
          <cell r="D271"/>
          <cell r="E271"/>
        </row>
        <row r="272">
          <cell r="A272"/>
          <cell r="B272"/>
          <cell r="C272"/>
          <cell r="D272"/>
          <cell r="E272"/>
        </row>
        <row r="273">
          <cell r="A273"/>
          <cell r="B273"/>
          <cell r="C273"/>
          <cell r="D273"/>
          <cell r="E273"/>
        </row>
        <row r="274">
          <cell r="A274"/>
          <cell r="B274"/>
          <cell r="C274"/>
          <cell r="D274"/>
          <cell r="E274"/>
        </row>
        <row r="275">
          <cell r="A275"/>
          <cell r="B275"/>
          <cell r="C275"/>
          <cell r="D275"/>
          <cell r="E275"/>
        </row>
        <row r="276">
          <cell r="A276"/>
          <cell r="B276"/>
          <cell r="C276"/>
          <cell r="D276"/>
          <cell r="E276"/>
        </row>
        <row r="277">
          <cell r="A277"/>
          <cell r="B277"/>
          <cell r="C277"/>
          <cell r="D277"/>
          <cell r="E277"/>
        </row>
        <row r="278">
          <cell r="A278"/>
          <cell r="B278"/>
          <cell r="C278"/>
          <cell r="D278"/>
          <cell r="E278"/>
        </row>
        <row r="279">
          <cell r="A279"/>
          <cell r="B279"/>
          <cell r="C279"/>
          <cell r="D279"/>
          <cell r="E279"/>
        </row>
        <row r="280">
          <cell r="A280"/>
          <cell r="B280"/>
          <cell r="C280"/>
          <cell r="D280"/>
          <cell r="E280"/>
        </row>
        <row r="281">
          <cell r="A281"/>
          <cell r="B281"/>
          <cell r="C281"/>
          <cell r="D281"/>
          <cell r="E281"/>
        </row>
        <row r="282">
          <cell r="A282"/>
          <cell r="B282"/>
          <cell r="C282"/>
          <cell r="D282"/>
          <cell r="E282"/>
        </row>
        <row r="283">
          <cell r="A283"/>
          <cell r="B283"/>
          <cell r="C283"/>
          <cell r="D283"/>
          <cell r="E283"/>
        </row>
        <row r="284">
          <cell r="A284"/>
          <cell r="B284"/>
          <cell r="C284"/>
          <cell r="D284"/>
          <cell r="E284"/>
        </row>
        <row r="285">
          <cell r="A285"/>
          <cell r="B285"/>
          <cell r="C285"/>
          <cell r="D285"/>
          <cell r="E285"/>
        </row>
        <row r="286">
          <cell r="A286"/>
          <cell r="B286"/>
          <cell r="C286"/>
          <cell r="D286"/>
          <cell r="E286"/>
        </row>
        <row r="287">
          <cell r="A287"/>
          <cell r="B287"/>
          <cell r="C287"/>
          <cell r="D287"/>
          <cell r="E287"/>
        </row>
        <row r="288">
          <cell r="A288"/>
          <cell r="B288"/>
          <cell r="C288"/>
          <cell r="D288"/>
          <cell r="E288"/>
        </row>
        <row r="289">
          <cell r="A289"/>
          <cell r="B289"/>
          <cell r="C289"/>
          <cell r="D289"/>
          <cell r="E289"/>
        </row>
        <row r="290">
          <cell r="A290"/>
          <cell r="B290"/>
          <cell r="C290"/>
          <cell r="D290"/>
          <cell r="E290"/>
        </row>
        <row r="291">
          <cell r="A291"/>
          <cell r="B291"/>
          <cell r="C291"/>
          <cell r="D291"/>
          <cell r="E291"/>
        </row>
        <row r="292">
          <cell r="A292"/>
          <cell r="B292"/>
          <cell r="C292"/>
          <cell r="D292"/>
          <cell r="E292"/>
        </row>
        <row r="293">
          <cell r="A293"/>
          <cell r="B293"/>
          <cell r="C293"/>
          <cell r="D293"/>
          <cell r="E293"/>
        </row>
        <row r="294">
          <cell r="A294"/>
          <cell r="B294"/>
          <cell r="C294"/>
          <cell r="D294"/>
          <cell r="E294"/>
        </row>
        <row r="295">
          <cell r="A295"/>
          <cell r="B295"/>
          <cell r="C295"/>
          <cell r="D295"/>
          <cell r="E295"/>
        </row>
        <row r="296">
          <cell r="A296"/>
          <cell r="B296"/>
          <cell r="C296"/>
          <cell r="D296"/>
          <cell r="E296"/>
        </row>
        <row r="297">
          <cell r="A297"/>
          <cell r="B297"/>
          <cell r="C297"/>
          <cell r="D297"/>
          <cell r="E297"/>
        </row>
        <row r="298">
          <cell r="A298"/>
          <cell r="B298"/>
          <cell r="C298"/>
          <cell r="D298"/>
          <cell r="E298"/>
        </row>
        <row r="299">
          <cell r="A299"/>
          <cell r="B299"/>
          <cell r="C299"/>
          <cell r="D299"/>
          <cell r="E299"/>
        </row>
        <row r="300">
          <cell r="A300"/>
          <cell r="B300"/>
          <cell r="C300"/>
          <cell r="D300"/>
          <cell r="E300"/>
        </row>
        <row r="301">
          <cell r="A301"/>
          <cell r="B301"/>
          <cell r="C301"/>
          <cell r="D301"/>
          <cell r="E301"/>
        </row>
        <row r="302">
          <cell r="A302"/>
          <cell r="B302"/>
          <cell r="C302"/>
          <cell r="D302"/>
          <cell r="E302"/>
        </row>
        <row r="303">
          <cell r="A303"/>
          <cell r="B303"/>
          <cell r="C303"/>
          <cell r="D303"/>
          <cell r="E303"/>
        </row>
        <row r="304">
          <cell r="A304"/>
          <cell r="B304"/>
          <cell r="C304"/>
          <cell r="D304"/>
          <cell r="E304"/>
        </row>
        <row r="305">
          <cell r="A305"/>
          <cell r="B305"/>
          <cell r="C305"/>
          <cell r="D305"/>
          <cell r="E305"/>
        </row>
        <row r="306">
          <cell r="A306"/>
          <cell r="B306"/>
          <cell r="C306"/>
          <cell r="D306"/>
          <cell r="E306"/>
        </row>
        <row r="307">
          <cell r="A307"/>
          <cell r="B307"/>
          <cell r="C307"/>
          <cell r="D307"/>
          <cell r="E307"/>
        </row>
        <row r="308">
          <cell r="A308"/>
          <cell r="B308"/>
          <cell r="C308"/>
          <cell r="D308"/>
          <cell r="E308"/>
        </row>
        <row r="309">
          <cell r="A309"/>
          <cell r="B309"/>
          <cell r="C309"/>
          <cell r="D309"/>
          <cell r="E309"/>
        </row>
        <row r="310">
          <cell r="A310"/>
          <cell r="B310"/>
          <cell r="C310"/>
          <cell r="D310"/>
          <cell r="E310"/>
        </row>
        <row r="311">
          <cell r="A311"/>
          <cell r="B311"/>
          <cell r="C311"/>
          <cell r="D311"/>
          <cell r="E311"/>
        </row>
        <row r="312">
          <cell r="A312"/>
          <cell r="B312"/>
          <cell r="C312"/>
          <cell r="D312"/>
          <cell r="E312"/>
        </row>
        <row r="313">
          <cell r="A313"/>
          <cell r="B313"/>
          <cell r="C313"/>
          <cell r="D313"/>
          <cell r="E313"/>
        </row>
        <row r="314">
          <cell r="A314"/>
          <cell r="B314"/>
          <cell r="C314"/>
          <cell r="D314"/>
          <cell r="E314"/>
        </row>
        <row r="315">
          <cell r="A315"/>
          <cell r="B315"/>
          <cell r="C315"/>
          <cell r="D315"/>
          <cell r="E315"/>
        </row>
        <row r="316">
          <cell r="A316"/>
          <cell r="B316"/>
          <cell r="C316"/>
          <cell r="D316"/>
          <cell r="E316"/>
        </row>
        <row r="317">
          <cell r="A317"/>
          <cell r="B317"/>
          <cell r="C317"/>
          <cell r="D317"/>
          <cell r="E317"/>
        </row>
        <row r="318">
          <cell r="A318"/>
          <cell r="B318"/>
          <cell r="C318"/>
          <cell r="D318"/>
          <cell r="E318"/>
        </row>
        <row r="319">
          <cell r="A319"/>
          <cell r="B319"/>
          <cell r="C319"/>
          <cell r="D319"/>
          <cell r="E319"/>
        </row>
        <row r="320">
          <cell r="A320"/>
          <cell r="B320"/>
          <cell r="C320"/>
          <cell r="D320"/>
          <cell r="E320"/>
        </row>
        <row r="321">
          <cell r="A321"/>
          <cell r="B321"/>
          <cell r="C321"/>
          <cell r="D321"/>
          <cell r="E321"/>
        </row>
        <row r="322">
          <cell r="A322"/>
          <cell r="B322"/>
          <cell r="C322"/>
          <cell r="D322"/>
          <cell r="E322"/>
        </row>
        <row r="323">
          <cell r="A323"/>
          <cell r="B323"/>
          <cell r="C323"/>
          <cell r="D323"/>
          <cell r="E323"/>
        </row>
        <row r="324">
          <cell r="A324"/>
          <cell r="B324"/>
          <cell r="C324"/>
          <cell r="D324"/>
          <cell r="E324"/>
        </row>
        <row r="325">
          <cell r="A325"/>
          <cell r="B325"/>
          <cell r="C325"/>
          <cell r="D325"/>
          <cell r="E325"/>
        </row>
        <row r="326">
          <cell r="A326"/>
          <cell r="B326"/>
          <cell r="C326"/>
          <cell r="D326"/>
          <cell r="E326"/>
        </row>
        <row r="327">
          <cell r="A327"/>
          <cell r="B327"/>
          <cell r="C327"/>
          <cell r="D327"/>
          <cell r="E327"/>
        </row>
        <row r="328">
          <cell r="A328"/>
          <cell r="B328"/>
          <cell r="C328"/>
          <cell r="D328"/>
          <cell r="E328"/>
        </row>
        <row r="329">
          <cell r="A329"/>
          <cell r="B329"/>
          <cell r="C329"/>
          <cell r="D329"/>
          <cell r="E329"/>
        </row>
        <row r="330">
          <cell r="A330"/>
          <cell r="B330"/>
          <cell r="C330"/>
          <cell r="D330"/>
          <cell r="E330"/>
        </row>
        <row r="331">
          <cell r="A331"/>
          <cell r="B331"/>
          <cell r="C331"/>
          <cell r="D331"/>
          <cell r="E331"/>
        </row>
        <row r="332">
          <cell r="A332"/>
          <cell r="B332"/>
          <cell r="C332"/>
          <cell r="D332"/>
          <cell r="E332"/>
        </row>
        <row r="333">
          <cell r="A333"/>
          <cell r="B333"/>
          <cell r="C333"/>
          <cell r="D333"/>
          <cell r="E333"/>
        </row>
        <row r="334">
          <cell r="A334"/>
          <cell r="B334"/>
          <cell r="C334"/>
          <cell r="D334"/>
          <cell r="E334"/>
        </row>
        <row r="335">
          <cell r="A335"/>
          <cell r="B335"/>
          <cell r="C335"/>
          <cell r="D335"/>
          <cell r="E335"/>
        </row>
        <row r="336">
          <cell r="A336"/>
          <cell r="B336"/>
          <cell r="C336"/>
          <cell r="D336"/>
          <cell r="E336"/>
        </row>
        <row r="337">
          <cell r="A337"/>
          <cell r="B337"/>
          <cell r="C337"/>
          <cell r="D337"/>
          <cell r="E337"/>
        </row>
        <row r="338">
          <cell r="A338"/>
          <cell r="B338"/>
          <cell r="C338"/>
          <cell r="D338"/>
          <cell r="E338"/>
        </row>
        <row r="339">
          <cell r="A339"/>
          <cell r="B339"/>
          <cell r="C339"/>
          <cell r="D339"/>
          <cell r="E339"/>
        </row>
        <row r="340">
          <cell r="A340"/>
          <cell r="B340"/>
          <cell r="C340"/>
          <cell r="D340"/>
          <cell r="E340"/>
        </row>
        <row r="341">
          <cell r="A341"/>
          <cell r="B341"/>
          <cell r="C341"/>
          <cell r="D341"/>
          <cell r="E341"/>
        </row>
        <row r="342">
          <cell r="A342"/>
          <cell r="B342"/>
          <cell r="C342"/>
          <cell r="D342"/>
          <cell r="E342"/>
        </row>
        <row r="343">
          <cell r="A343"/>
          <cell r="B343"/>
          <cell r="C343"/>
          <cell r="D343"/>
          <cell r="E343"/>
        </row>
        <row r="344">
          <cell r="A344"/>
          <cell r="B344"/>
          <cell r="C344"/>
          <cell r="D344"/>
          <cell r="E344"/>
        </row>
        <row r="345">
          <cell r="A345"/>
          <cell r="B345"/>
          <cell r="C345"/>
          <cell r="D345"/>
          <cell r="E345"/>
        </row>
        <row r="346">
          <cell r="A346"/>
          <cell r="B346"/>
          <cell r="C346"/>
          <cell r="D346"/>
          <cell r="E346"/>
        </row>
        <row r="347">
          <cell r="A347"/>
          <cell r="B347"/>
          <cell r="C347"/>
          <cell r="D347"/>
          <cell r="E347"/>
        </row>
        <row r="348">
          <cell r="A348"/>
          <cell r="B348"/>
          <cell r="C348"/>
          <cell r="D348"/>
          <cell r="E348"/>
        </row>
        <row r="349">
          <cell r="A349"/>
          <cell r="B349"/>
          <cell r="C349"/>
          <cell r="D349"/>
          <cell r="E349"/>
        </row>
        <row r="350">
          <cell r="A350"/>
          <cell r="B350"/>
          <cell r="C350"/>
          <cell r="D350"/>
          <cell r="E350"/>
        </row>
        <row r="351">
          <cell r="A351"/>
          <cell r="B351"/>
          <cell r="C351"/>
          <cell r="D351"/>
          <cell r="E351"/>
        </row>
        <row r="352">
          <cell r="A352"/>
          <cell r="B352"/>
          <cell r="C352"/>
          <cell r="D352"/>
          <cell r="E352"/>
        </row>
        <row r="353">
          <cell r="A353"/>
          <cell r="B353"/>
          <cell r="C353"/>
          <cell r="D353"/>
          <cell r="E353"/>
        </row>
        <row r="354">
          <cell r="A354"/>
          <cell r="B354"/>
          <cell r="C354"/>
          <cell r="D354"/>
          <cell r="E354"/>
        </row>
        <row r="355">
          <cell r="A355"/>
          <cell r="B355"/>
          <cell r="C355"/>
          <cell r="D355"/>
          <cell r="E355"/>
        </row>
        <row r="356">
          <cell r="A356"/>
          <cell r="B356"/>
          <cell r="C356"/>
          <cell r="D356"/>
          <cell r="E356"/>
        </row>
        <row r="357">
          <cell r="A357"/>
          <cell r="B357"/>
          <cell r="C357"/>
          <cell r="D357"/>
          <cell r="E357"/>
        </row>
        <row r="358">
          <cell r="A358"/>
          <cell r="B358"/>
          <cell r="C358"/>
          <cell r="D358"/>
          <cell r="E358"/>
        </row>
        <row r="359">
          <cell r="A359"/>
          <cell r="B359"/>
          <cell r="C359"/>
          <cell r="D359"/>
          <cell r="E359"/>
        </row>
        <row r="360">
          <cell r="A360"/>
          <cell r="B360"/>
          <cell r="C360"/>
          <cell r="D360"/>
          <cell r="E360"/>
        </row>
        <row r="361">
          <cell r="A361"/>
          <cell r="B361"/>
          <cell r="C361"/>
          <cell r="D361"/>
          <cell r="E361"/>
        </row>
        <row r="362">
          <cell r="A362"/>
          <cell r="B362"/>
          <cell r="C362"/>
          <cell r="D362"/>
          <cell r="E362"/>
        </row>
        <row r="363">
          <cell r="A363"/>
          <cell r="B363"/>
          <cell r="C363"/>
          <cell r="D363"/>
          <cell r="E363"/>
        </row>
        <row r="364">
          <cell r="A364"/>
          <cell r="B364"/>
          <cell r="C364"/>
          <cell r="D364"/>
          <cell r="E364"/>
        </row>
        <row r="365">
          <cell r="A365"/>
          <cell r="B365"/>
          <cell r="C365"/>
          <cell r="D365"/>
          <cell r="E365"/>
        </row>
        <row r="366">
          <cell r="A366"/>
          <cell r="B366"/>
          <cell r="C366"/>
          <cell r="D366"/>
          <cell r="E366"/>
        </row>
        <row r="367">
          <cell r="A367"/>
          <cell r="B367"/>
          <cell r="C367"/>
          <cell r="D367"/>
          <cell r="E367"/>
        </row>
        <row r="368">
          <cell r="A368"/>
          <cell r="B368"/>
          <cell r="C368"/>
          <cell r="D368"/>
          <cell r="E368"/>
        </row>
        <row r="369">
          <cell r="A369"/>
          <cell r="B369"/>
          <cell r="C369"/>
          <cell r="D369"/>
          <cell r="E369"/>
        </row>
        <row r="370">
          <cell r="A370"/>
          <cell r="B370"/>
          <cell r="C370"/>
          <cell r="D370"/>
          <cell r="E370"/>
        </row>
        <row r="371">
          <cell r="A371"/>
          <cell r="B371"/>
          <cell r="C371"/>
          <cell r="D371"/>
          <cell r="E371"/>
        </row>
        <row r="372">
          <cell r="A372"/>
          <cell r="B372"/>
          <cell r="C372"/>
          <cell r="D372"/>
          <cell r="E372"/>
        </row>
        <row r="373">
          <cell r="A373"/>
          <cell r="B373"/>
          <cell r="C373"/>
          <cell r="D373"/>
          <cell r="E373"/>
        </row>
        <row r="374">
          <cell r="A374"/>
          <cell r="B374"/>
          <cell r="C374"/>
          <cell r="D374"/>
          <cell r="E374"/>
        </row>
        <row r="375">
          <cell r="A375"/>
          <cell r="B375"/>
          <cell r="C375"/>
          <cell r="D375"/>
          <cell r="E375"/>
        </row>
        <row r="376">
          <cell r="A376"/>
          <cell r="B376"/>
          <cell r="C376"/>
          <cell r="D376"/>
          <cell r="E376"/>
        </row>
        <row r="377">
          <cell r="A377"/>
          <cell r="B377"/>
          <cell r="C377"/>
          <cell r="D377"/>
          <cell r="E377"/>
        </row>
        <row r="378">
          <cell r="A378"/>
          <cell r="B378"/>
          <cell r="C378"/>
          <cell r="D378"/>
          <cell r="E378"/>
        </row>
        <row r="379">
          <cell r="A379"/>
          <cell r="B379"/>
          <cell r="C379"/>
          <cell r="D379"/>
          <cell r="E379"/>
        </row>
        <row r="380">
          <cell r="A380"/>
          <cell r="B380"/>
          <cell r="C380"/>
          <cell r="D380"/>
          <cell r="E380"/>
        </row>
        <row r="381">
          <cell r="A381"/>
          <cell r="B381"/>
          <cell r="C381"/>
          <cell r="D381"/>
          <cell r="E381"/>
        </row>
        <row r="382">
          <cell r="A382"/>
          <cell r="B382"/>
          <cell r="C382"/>
          <cell r="D382"/>
          <cell r="E382"/>
        </row>
        <row r="383">
          <cell r="A383"/>
          <cell r="B383"/>
          <cell r="C383"/>
          <cell r="D383"/>
          <cell r="E383"/>
        </row>
        <row r="384">
          <cell r="A384"/>
          <cell r="B384"/>
          <cell r="C384"/>
          <cell r="D384"/>
          <cell r="E384"/>
        </row>
        <row r="385">
          <cell r="A385"/>
          <cell r="B385"/>
          <cell r="C385"/>
          <cell r="D385"/>
          <cell r="E385"/>
        </row>
        <row r="386">
          <cell r="A386"/>
          <cell r="B386"/>
          <cell r="C386"/>
          <cell r="D386"/>
          <cell r="E386"/>
        </row>
        <row r="387">
          <cell r="A387"/>
          <cell r="B387"/>
          <cell r="C387"/>
          <cell r="D387"/>
          <cell r="E387"/>
        </row>
        <row r="388">
          <cell r="A388"/>
          <cell r="B388"/>
          <cell r="C388"/>
          <cell r="D388"/>
          <cell r="E388"/>
        </row>
        <row r="389">
          <cell r="A389"/>
          <cell r="B389"/>
          <cell r="C389"/>
          <cell r="D389"/>
          <cell r="E389"/>
        </row>
        <row r="390">
          <cell r="A390"/>
          <cell r="B390"/>
          <cell r="C390"/>
          <cell r="D390"/>
          <cell r="E390"/>
        </row>
        <row r="391">
          <cell r="A391"/>
          <cell r="B391"/>
          <cell r="C391"/>
          <cell r="D391"/>
          <cell r="E391"/>
        </row>
        <row r="392">
          <cell r="A392"/>
          <cell r="B392"/>
          <cell r="C392"/>
          <cell r="D392"/>
          <cell r="E392"/>
        </row>
        <row r="393">
          <cell r="A393"/>
          <cell r="B393"/>
          <cell r="C393"/>
          <cell r="D393"/>
          <cell r="E393"/>
        </row>
        <row r="394">
          <cell r="A394"/>
          <cell r="B394"/>
          <cell r="C394"/>
          <cell r="D394"/>
          <cell r="E394"/>
        </row>
        <row r="395">
          <cell r="A395"/>
          <cell r="B395"/>
          <cell r="C395"/>
          <cell r="D395"/>
          <cell r="E395"/>
        </row>
        <row r="396">
          <cell r="A396"/>
          <cell r="B396"/>
          <cell r="C396"/>
          <cell r="D396"/>
          <cell r="E396"/>
        </row>
        <row r="397">
          <cell r="A397"/>
          <cell r="B397"/>
          <cell r="C397"/>
          <cell r="D397"/>
          <cell r="E397"/>
        </row>
        <row r="398">
          <cell r="A398"/>
          <cell r="B398"/>
          <cell r="C398"/>
          <cell r="D398"/>
          <cell r="E398"/>
        </row>
        <row r="399">
          <cell r="A399"/>
          <cell r="B399"/>
          <cell r="C399"/>
          <cell r="D399"/>
          <cell r="E399"/>
        </row>
        <row r="400">
          <cell r="A400"/>
          <cell r="B400"/>
          <cell r="C400"/>
          <cell r="D400"/>
          <cell r="E400"/>
        </row>
        <row r="401">
          <cell r="A401"/>
          <cell r="B401"/>
          <cell r="C401"/>
          <cell r="D401"/>
          <cell r="E401"/>
        </row>
        <row r="402">
          <cell r="A402"/>
          <cell r="B402"/>
          <cell r="C402"/>
          <cell r="D402"/>
          <cell r="E402"/>
        </row>
        <row r="403">
          <cell r="A403"/>
          <cell r="B403"/>
          <cell r="C403"/>
          <cell r="D403"/>
          <cell r="E403"/>
        </row>
        <row r="404">
          <cell r="A404"/>
          <cell r="B404"/>
          <cell r="C404"/>
          <cell r="D404"/>
          <cell r="E404"/>
        </row>
        <row r="405">
          <cell r="A405"/>
          <cell r="B405"/>
          <cell r="C405"/>
          <cell r="D405"/>
          <cell r="E405"/>
        </row>
        <row r="406">
          <cell r="A406"/>
          <cell r="B406"/>
          <cell r="C406"/>
          <cell r="D406"/>
          <cell r="E406"/>
        </row>
        <row r="407">
          <cell r="A407"/>
          <cell r="B407"/>
          <cell r="C407"/>
          <cell r="D407"/>
          <cell r="E407"/>
        </row>
        <row r="408">
          <cell r="A408"/>
          <cell r="B408"/>
          <cell r="C408"/>
          <cell r="D408"/>
          <cell r="E408"/>
        </row>
        <row r="409">
          <cell r="A409"/>
          <cell r="B409"/>
          <cell r="C409"/>
          <cell r="D409"/>
          <cell r="E409"/>
        </row>
        <row r="410">
          <cell r="A410"/>
          <cell r="B410"/>
          <cell r="C410"/>
          <cell r="D410"/>
          <cell r="E410"/>
        </row>
        <row r="411">
          <cell r="A411"/>
          <cell r="B411"/>
          <cell r="C411"/>
          <cell r="D411"/>
          <cell r="E411"/>
        </row>
        <row r="412">
          <cell r="A412"/>
          <cell r="B412"/>
          <cell r="C412"/>
          <cell r="D412"/>
          <cell r="E412"/>
        </row>
        <row r="413">
          <cell r="A413"/>
          <cell r="B413"/>
          <cell r="C413"/>
          <cell r="D413"/>
          <cell r="E413"/>
        </row>
        <row r="414">
          <cell r="A414"/>
          <cell r="B414"/>
          <cell r="C414"/>
          <cell r="D414"/>
          <cell r="E414"/>
        </row>
        <row r="415">
          <cell r="A415"/>
          <cell r="B415"/>
          <cell r="C415"/>
          <cell r="D415"/>
          <cell r="E415"/>
        </row>
        <row r="416">
          <cell r="A416"/>
          <cell r="B416"/>
          <cell r="C416"/>
          <cell r="D416"/>
          <cell r="E416"/>
        </row>
        <row r="417">
          <cell r="A417"/>
          <cell r="B417"/>
          <cell r="C417"/>
          <cell r="D417"/>
          <cell r="E417"/>
        </row>
        <row r="418">
          <cell r="A418"/>
          <cell r="B418"/>
          <cell r="C418"/>
          <cell r="D418"/>
          <cell r="E418"/>
        </row>
        <row r="419">
          <cell r="A419"/>
          <cell r="B419"/>
          <cell r="C419"/>
          <cell r="D419"/>
          <cell r="E419"/>
        </row>
        <row r="420">
          <cell r="A420"/>
          <cell r="B420"/>
          <cell r="C420"/>
          <cell r="D420"/>
          <cell r="E420"/>
        </row>
        <row r="421">
          <cell r="A421"/>
          <cell r="B421"/>
          <cell r="C421"/>
          <cell r="D421"/>
          <cell r="E421"/>
        </row>
        <row r="422">
          <cell r="A422"/>
          <cell r="B422"/>
          <cell r="C422"/>
          <cell r="D422"/>
          <cell r="E422"/>
        </row>
        <row r="423">
          <cell r="A423"/>
          <cell r="B423"/>
          <cell r="C423"/>
          <cell r="D423"/>
          <cell r="E423"/>
        </row>
        <row r="424">
          <cell r="A424"/>
          <cell r="B424"/>
          <cell r="C424"/>
          <cell r="D424"/>
          <cell r="E424"/>
        </row>
        <row r="425">
          <cell r="A425"/>
          <cell r="B425"/>
          <cell r="C425"/>
          <cell r="D425"/>
          <cell r="E425"/>
        </row>
        <row r="426">
          <cell r="A426"/>
          <cell r="B426"/>
          <cell r="C426"/>
          <cell r="D426"/>
          <cell r="E426"/>
        </row>
        <row r="427">
          <cell r="A427"/>
          <cell r="B427"/>
          <cell r="C427"/>
          <cell r="D427"/>
          <cell r="E427"/>
        </row>
        <row r="428">
          <cell r="A428"/>
          <cell r="B428"/>
          <cell r="C428"/>
          <cell r="D428"/>
          <cell r="E428"/>
        </row>
        <row r="429">
          <cell r="A429"/>
          <cell r="B429"/>
          <cell r="C429"/>
          <cell r="D429"/>
          <cell r="E429"/>
        </row>
        <row r="430">
          <cell r="A430"/>
          <cell r="B430"/>
          <cell r="C430"/>
          <cell r="D430"/>
          <cell r="E430"/>
        </row>
        <row r="431">
          <cell r="A431"/>
          <cell r="B431"/>
          <cell r="C431"/>
          <cell r="D431"/>
          <cell r="E431"/>
        </row>
        <row r="432">
          <cell r="A432"/>
          <cell r="B432"/>
          <cell r="C432"/>
          <cell r="D432"/>
          <cell r="E432"/>
        </row>
        <row r="433">
          <cell r="A433"/>
          <cell r="B433"/>
          <cell r="C433"/>
          <cell r="D433"/>
          <cell r="E433"/>
        </row>
        <row r="434">
          <cell r="A434"/>
          <cell r="B434"/>
          <cell r="C434"/>
          <cell r="D434"/>
          <cell r="E434"/>
        </row>
        <row r="435">
          <cell r="A435"/>
          <cell r="B435"/>
          <cell r="C435"/>
          <cell r="D435"/>
          <cell r="E435"/>
        </row>
        <row r="436">
          <cell r="A436"/>
          <cell r="B436"/>
          <cell r="C436"/>
          <cell r="D436"/>
          <cell r="E436"/>
        </row>
        <row r="437">
          <cell r="A437"/>
          <cell r="B437"/>
          <cell r="C437"/>
          <cell r="D437"/>
          <cell r="E437"/>
        </row>
        <row r="438">
          <cell r="A438"/>
          <cell r="B438"/>
          <cell r="C438"/>
          <cell r="D438"/>
          <cell r="E438"/>
        </row>
        <row r="439">
          <cell r="A439"/>
          <cell r="B439"/>
          <cell r="C439"/>
          <cell r="D439"/>
          <cell r="E439"/>
        </row>
        <row r="440">
          <cell r="A440"/>
          <cell r="B440"/>
          <cell r="C440"/>
          <cell r="D440"/>
          <cell r="E440"/>
        </row>
        <row r="441">
          <cell r="A441"/>
          <cell r="B441"/>
          <cell r="C441"/>
          <cell r="D441"/>
          <cell r="E441"/>
        </row>
        <row r="442">
          <cell r="A442"/>
          <cell r="B442"/>
          <cell r="C442"/>
          <cell r="D442"/>
          <cell r="E442"/>
        </row>
        <row r="443">
          <cell r="A443"/>
          <cell r="B443"/>
          <cell r="C443"/>
          <cell r="D443"/>
          <cell r="E443"/>
        </row>
        <row r="444">
          <cell r="A444"/>
          <cell r="B444"/>
          <cell r="C444"/>
          <cell r="D444"/>
          <cell r="E444"/>
        </row>
        <row r="445">
          <cell r="A445"/>
          <cell r="B445"/>
          <cell r="C445"/>
          <cell r="D445"/>
          <cell r="E445"/>
        </row>
        <row r="446">
          <cell r="A446"/>
          <cell r="B446"/>
          <cell r="C446"/>
          <cell r="D446"/>
          <cell r="E446"/>
        </row>
        <row r="447">
          <cell r="A447"/>
          <cell r="B447"/>
          <cell r="C447"/>
          <cell r="D447"/>
          <cell r="E447"/>
        </row>
        <row r="448">
          <cell r="A448"/>
          <cell r="B448"/>
          <cell r="C448"/>
          <cell r="D448"/>
          <cell r="E448"/>
        </row>
        <row r="449">
          <cell r="A449"/>
          <cell r="B449"/>
          <cell r="C449"/>
          <cell r="D449"/>
          <cell r="E449"/>
        </row>
        <row r="450">
          <cell r="A450"/>
          <cell r="B450"/>
          <cell r="C450"/>
          <cell r="D450"/>
          <cell r="E450"/>
        </row>
        <row r="451">
          <cell r="A451"/>
          <cell r="B451"/>
          <cell r="C451"/>
          <cell r="D451"/>
          <cell r="E451"/>
        </row>
        <row r="452">
          <cell r="A452"/>
          <cell r="B452"/>
          <cell r="C452"/>
          <cell r="D452"/>
          <cell r="E452"/>
        </row>
        <row r="453">
          <cell r="A453"/>
          <cell r="B453"/>
          <cell r="C453"/>
          <cell r="D453"/>
          <cell r="E453"/>
        </row>
        <row r="454">
          <cell r="A454"/>
          <cell r="B454"/>
          <cell r="C454"/>
          <cell r="D454"/>
          <cell r="E454"/>
        </row>
        <row r="455">
          <cell r="A455"/>
          <cell r="B455"/>
          <cell r="C455"/>
          <cell r="D455"/>
          <cell r="E455"/>
        </row>
        <row r="456">
          <cell r="A456"/>
          <cell r="B456"/>
          <cell r="C456"/>
          <cell r="D456"/>
          <cell r="E456"/>
        </row>
        <row r="457">
          <cell r="A457"/>
          <cell r="B457"/>
          <cell r="C457"/>
          <cell r="D457"/>
          <cell r="E457"/>
        </row>
        <row r="458">
          <cell r="A458"/>
          <cell r="B458"/>
          <cell r="C458"/>
          <cell r="D458"/>
          <cell r="E458"/>
        </row>
        <row r="459">
          <cell r="A459"/>
          <cell r="B459"/>
          <cell r="C459"/>
          <cell r="D459"/>
          <cell r="E459"/>
        </row>
        <row r="460">
          <cell r="A460"/>
          <cell r="B460"/>
          <cell r="C460"/>
          <cell r="D460"/>
          <cell r="E460"/>
        </row>
        <row r="461">
          <cell r="A461"/>
          <cell r="B461"/>
          <cell r="C461"/>
          <cell r="D461"/>
          <cell r="E461"/>
        </row>
        <row r="462">
          <cell r="A462"/>
          <cell r="B462"/>
          <cell r="C462"/>
          <cell r="D462"/>
          <cell r="E462"/>
        </row>
        <row r="463">
          <cell r="A463"/>
          <cell r="B463"/>
          <cell r="C463"/>
          <cell r="D463"/>
          <cell r="E463"/>
        </row>
        <row r="464">
          <cell r="A464"/>
          <cell r="B464"/>
          <cell r="C464"/>
          <cell r="D464"/>
          <cell r="E464"/>
        </row>
        <row r="465">
          <cell r="A465"/>
          <cell r="B465"/>
          <cell r="C465"/>
          <cell r="D465"/>
          <cell r="E465"/>
        </row>
        <row r="466">
          <cell r="A466"/>
          <cell r="B466"/>
          <cell r="C466"/>
          <cell r="D466"/>
          <cell r="E466"/>
        </row>
        <row r="467">
          <cell r="A467"/>
          <cell r="B467"/>
          <cell r="C467"/>
          <cell r="D467"/>
          <cell r="E467"/>
        </row>
        <row r="468">
          <cell r="A468"/>
          <cell r="B468"/>
          <cell r="C468"/>
          <cell r="D468"/>
          <cell r="E468"/>
        </row>
        <row r="469">
          <cell r="A469"/>
          <cell r="B469"/>
          <cell r="C469"/>
          <cell r="D469"/>
          <cell r="E469"/>
        </row>
        <row r="470">
          <cell r="A470"/>
          <cell r="B470"/>
          <cell r="C470"/>
          <cell r="D470"/>
          <cell r="E470"/>
        </row>
        <row r="471">
          <cell r="A471"/>
          <cell r="B471"/>
          <cell r="C471"/>
          <cell r="D471"/>
          <cell r="E471"/>
        </row>
        <row r="472">
          <cell r="A472"/>
          <cell r="B472"/>
          <cell r="C472"/>
          <cell r="D472"/>
          <cell r="E472"/>
        </row>
        <row r="473">
          <cell r="A473"/>
          <cell r="B473"/>
          <cell r="C473"/>
          <cell r="D473"/>
          <cell r="E473"/>
        </row>
        <row r="474">
          <cell r="A474"/>
          <cell r="B474"/>
          <cell r="C474"/>
          <cell r="D474"/>
          <cell r="E474"/>
        </row>
        <row r="475">
          <cell r="A475"/>
          <cell r="B475"/>
          <cell r="C475"/>
          <cell r="D475"/>
          <cell r="E475"/>
        </row>
        <row r="476">
          <cell r="A476"/>
          <cell r="B476"/>
          <cell r="C476"/>
          <cell r="D476"/>
          <cell r="E476"/>
        </row>
        <row r="477">
          <cell r="A477"/>
          <cell r="B477"/>
          <cell r="C477"/>
          <cell r="D477"/>
          <cell r="E477"/>
        </row>
        <row r="478">
          <cell r="A478"/>
          <cell r="B478"/>
          <cell r="C478"/>
          <cell r="D478"/>
          <cell r="E478"/>
        </row>
        <row r="479">
          <cell r="A479"/>
          <cell r="B479"/>
          <cell r="C479"/>
          <cell r="D479"/>
          <cell r="E479"/>
        </row>
        <row r="480">
          <cell r="A480"/>
          <cell r="B480"/>
          <cell r="C480"/>
          <cell r="D480"/>
          <cell r="E480"/>
        </row>
        <row r="481">
          <cell r="A481"/>
          <cell r="B481"/>
          <cell r="C481"/>
          <cell r="D481"/>
          <cell r="E481"/>
        </row>
        <row r="482">
          <cell r="A482"/>
          <cell r="B482"/>
          <cell r="C482"/>
          <cell r="D482"/>
          <cell r="E482"/>
        </row>
        <row r="483">
          <cell r="A483"/>
          <cell r="B483"/>
          <cell r="C483"/>
          <cell r="D483"/>
          <cell r="E483"/>
        </row>
        <row r="484">
          <cell r="A484"/>
          <cell r="B484"/>
          <cell r="C484"/>
          <cell r="D484"/>
          <cell r="E484"/>
        </row>
        <row r="485">
          <cell r="A485"/>
          <cell r="B485"/>
          <cell r="C485"/>
          <cell r="D485"/>
          <cell r="E485"/>
        </row>
        <row r="486">
          <cell r="A486"/>
          <cell r="B486"/>
          <cell r="C486"/>
          <cell r="D486"/>
          <cell r="E486"/>
        </row>
        <row r="487">
          <cell r="A487"/>
          <cell r="B487"/>
          <cell r="C487"/>
          <cell r="D487"/>
          <cell r="E487"/>
        </row>
        <row r="488">
          <cell r="A488"/>
          <cell r="B488"/>
          <cell r="C488"/>
          <cell r="D488"/>
          <cell r="E488"/>
        </row>
        <row r="489">
          <cell r="A489"/>
          <cell r="B489"/>
          <cell r="C489"/>
          <cell r="D489"/>
          <cell r="E489"/>
        </row>
        <row r="490">
          <cell r="A490"/>
          <cell r="B490"/>
          <cell r="C490"/>
          <cell r="D490"/>
          <cell r="E490"/>
        </row>
        <row r="491">
          <cell r="A491"/>
          <cell r="B491"/>
          <cell r="C491"/>
          <cell r="D491"/>
          <cell r="E491"/>
        </row>
        <row r="492">
          <cell r="A492"/>
          <cell r="B492"/>
          <cell r="C492"/>
          <cell r="D492"/>
          <cell r="E492"/>
        </row>
        <row r="493">
          <cell r="A493"/>
          <cell r="B493"/>
          <cell r="C493"/>
          <cell r="D493"/>
          <cell r="E493"/>
        </row>
        <row r="494">
          <cell r="A494"/>
          <cell r="B494"/>
          <cell r="C494"/>
          <cell r="D494"/>
          <cell r="E494"/>
        </row>
        <row r="495">
          <cell r="A495"/>
          <cell r="B495"/>
          <cell r="C495"/>
          <cell r="D495"/>
          <cell r="E495"/>
        </row>
        <row r="496">
          <cell r="A496"/>
          <cell r="B496"/>
          <cell r="C496"/>
          <cell r="D496"/>
          <cell r="E496"/>
        </row>
        <row r="497">
          <cell r="A497"/>
          <cell r="B497"/>
          <cell r="C497"/>
          <cell r="D497"/>
          <cell r="E497"/>
        </row>
        <row r="498">
          <cell r="A498"/>
          <cell r="B498"/>
          <cell r="C498"/>
          <cell r="D498"/>
          <cell r="E498"/>
        </row>
        <row r="499">
          <cell r="A499"/>
          <cell r="B499"/>
          <cell r="C499"/>
          <cell r="D499"/>
          <cell r="E499"/>
        </row>
        <row r="500">
          <cell r="A500"/>
          <cell r="B500"/>
          <cell r="C500"/>
          <cell r="D500"/>
          <cell r="E500"/>
        </row>
        <row r="501">
          <cell r="A501"/>
          <cell r="B501"/>
          <cell r="C501"/>
          <cell r="D501"/>
          <cell r="E501"/>
        </row>
        <row r="502">
          <cell r="A502"/>
          <cell r="B502"/>
          <cell r="C502"/>
          <cell r="D502"/>
          <cell r="E502"/>
        </row>
        <row r="503">
          <cell r="A503"/>
          <cell r="B503"/>
          <cell r="C503"/>
          <cell r="D503"/>
          <cell r="E503"/>
        </row>
        <row r="504">
          <cell r="A504"/>
          <cell r="B504"/>
          <cell r="C504"/>
          <cell r="D504"/>
          <cell r="E504"/>
        </row>
        <row r="505">
          <cell r="A505"/>
          <cell r="B505"/>
          <cell r="C505"/>
          <cell r="D505"/>
          <cell r="E505"/>
        </row>
        <row r="506">
          <cell r="A506"/>
          <cell r="B506"/>
          <cell r="C506"/>
          <cell r="D506"/>
          <cell r="E506"/>
        </row>
        <row r="507">
          <cell r="A507"/>
          <cell r="B507"/>
          <cell r="C507"/>
          <cell r="D507"/>
          <cell r="E507"/>
        </row>
        <row r="508">
          <cell r="A508"/>
          <cell r="B508"/>
          <cell r="C508"/>
          <cell r="D508"/>
          <cell r="E508"/>
        </row>
        <row r="509">
          <cell r="A509"/>
          <cell r="B509"/>
          <cell r="C509"/>
          <cell r="D509"/>
          <cell r="E509"/>
        </row>
        <row r="510">
          <cell r="A510"/>
          <cell r="B510"/>
          <cell r="C510"/>
          <cell r="D510"/>
          <cell r="E510"/>
        </row>
        <row r="511">
          <cell r="A511"/>
          <cell r="B511"/>
          <cell r="C511"/>
          <cell r="D511"/>
          <cell r="E511"/>
        </row>
        <row r="512">
          <cell r="A512"/>
          <cell r="B512"/>
          <cell r="C512"/>
          <cell r="D512"/>
          <cell r="E512"/>
        </row>
        <row r="513">
          <cell r="A513"/>
          <cell r="B513"/>
          <cell r="C513"/>
          <cell r="D513"/>
          <cell r="E513"/>
        </row>
        <row r="514">
          <cell r="A514"/>
          <cell r="B514"/>
          <cell r="C514"/>
          <cell r="D514"/>
          <cell r="E514"/>
        </row>
        <row r="515">
          <cell r="A515"/>
          <cell r="B515"/>
          <cell r="C515"/>
          <cell r="D515"/>
          <cell r="E515"/>
        </row>
        <row r="516">
          <cell r="A516"/>
          <cell r="B516"/>
          <cell r="C516"/>
          <cell r="D516"/>
          <cell r="E516"/>
        </row>
        <row r="517">
          <cell r="A517"/>
          <cell r="B517"/>
          <cell r="C517"/>
          <cell r="D517"/>
          <cell r="E517"/>
        </row>
        <row r="518">
          <cell r="A518"/>
          <cell r="B518"/>
          <cell r="C518"/>
          <cell r="D518"/>
          <cell r="E518"/>
        </row>
        <row r="519">
          <cell r="A519"/>
          <cell r="B519"/>
          <cell r="C519"/>
          <cell r="D519"/>
          <cell r="E519"/>
        </row>
        <row r="520">
          <cell r="A520"/>
          <cell r="B520"/>
          <cell r="C520"/>
          <cell r="D520"/>
          <cell r="E520"/>
        </row>
        <row r="521">
          <cell r="A521"/>
          <cell r="B521"/>
          <cell r="C521"/>
          <cell r="D521"/>
          <cell r="E521"/>
        </row>
        <row r="522">
          <cell r="A522"/>
          <cell r="B522"/>
          <cell r="C522"/>
          <cell r="D522"/>
          <cell r="E522"/>
        </row>
        <row r="523">
          <cell r="A523"/>
          <cell r="B523"/>
          <cell r="C523"/>
          <cell r="D523"/>
          <cell r="E523"/>
        </row>
        <row r="524">
          <cell r="A524"/>
          <cell r="B524"/>
          <cell r="C524"/>
          <cell r="D524"/>
          <cell r="E524"/>
        </row>
        <row r="525">
          <cell r="A525"/>
          <cell r="B525"/>
          <cell r="C525"/>
          <cell r="D525"/>
          <cell r="E525"/>
        </row>
        <row r="526">
          <cell r="A526"/>
          <cell r="B526"/>
          <cell r="C526"/>
          <cell r="D526"/>
          <cell r="E526"/>
        </row>
        <row r="527">
          <cell r="A527"/>
          <cell r="B527"/>
          <cell r="C527"/>
          <cell r="D527"/>
          <cell r="E527"/>
        </row>
        <row r="528">
          <cell r="A528"/>
          <cell r="B528"/>
          <cell r="C528"/>
          <cell r="D528"/>
          <cell r="E528"/>
        </row>
        <row r="529">
          <cell r="A529"/>
          <cell r="B529"/>
          <cell r="C529"/>
          <cell r="D529"/>
          <cell r="E529"/>
        </row>
        <row r="530">
          <cell r="A530"/>
          <cell r="B530"/>
          <cell r="C530"/>
          <cell r="D530"/>
          <cell r="E530"/>
        </row>
        <row r="531">
          <cell r="A531"/>
          <cell r="B531"/>
          <cell r="C531"/>
          <cell r="D531"/>
          <cell r="E531"/>
        </row>
        <row r="532">
          <cell r="A532"/>
          <cell r="B532"/>
          <cell r="C532"/>
          <cell r="D532"/>
          <cell r="E532"/>
        </row>
        <row r="533">
          <cell r="A533"/>
          <cell r="B533"/>
          <cell r="C533"/>
          <cell r="D533"/>
          <cell r="E533"/>
        </row>
        <row r="534">
          <cell r="A534"/>
          <cell r="B534"/>
          <cell r="C534"/>
          <cell r="D534"/>
          <cell r="E534"/>
        </row>
        <row r="535">
          <cell r="A535"/>
          <cell r="B535"/>
          <cell r="C535"/>
          <cell r="D535"/>
          <cell r="E535"/>
        </row>
        <row r="536">
          <cell r="A536"/>
          <cell r="B536"/>
          <cell r="C536"/>
          <cell r="D536"/>
          <cell r="E536"/>
        </row>
        <row r="537">
          <cell r="A537"/>
          <cell r="B537"/>
          <cell r="C537"/>
          <cell r="D537"/>
          <cell r="E537"/>
        </row>
        <row r="538">
          <cell r="A538"/>
          <cell r="B538"/>
          <cell r="C538"/>
          <cell r="D538"/>
          <cell r="E538"/>
        </row>
        <row r="539">
          <cell r="A539"/>
          <cell r="B539"/>
          <cell r="C539"/>
          <cell r="D539"/>
          <cell r="E539"/>
        </row>
        <row r="540">
          <cell r="A540"/>
          <cell r="B540"/>
          <cell r="C540"/>
          <cell r="D540"/>
          <cell r="E540"/>
        </row>
        <row r="541">
          <cell r="A541"/>
          <cell r="B541"/>
          <cell r="C541"/>
          <cell r="D541"/>
          <cell r="E541"/>
        </row>
        <row r="542">
          <cell r="A542"/>
          <cell r="B542"/>
          <cell r="C542"/>
          <cell r="D542"/>
          <cell r="E542"/>
        </row>
        <row r="543">
          <cell r="A543"/>
          <cell r="B543"/>
          <cell r="C543"/>
          <cell r="D543"/>
          <cell r="E543"/>
        </row>
        <row r="544">
          <cell r="A544"/>
          <cell r="B544"/>
          <cell r="C544"/>
          <cell r="D544"/>
          <cell r="E544"/>
        </row>
        <row r="545">
          <cell r="A545"/>
          <cell r="B545"/>
          <cell r="C545"/>
          <cell r="D545"/>
          <cell r="E545"/>
        </row>
        <row r="546">
          <cell r="A546"/>
          <cell r="B546"/>
          <cell r="C546"/>
          <cell r="D546"/>
          <cell r="E546"/>
        </row>
        <row r="547">
          <cell r="A547"/>
          <cell r="B547"/>
          <cell r="C547"/>
          <cell r="D547"/>
          <cell r="E547"/>
        </row>
        <row r="548">
          <cell r="A548"/>
          <cell r="B548"/>
          <cell r="C548"/>
          <cell r="D548"/>
          <cell r="E548"/>
        </row>
        <row r="549">
          <cell r="A549"/>
          <cell r="B549"/>
          <cell r="C549"/>
          <cell r="D549"/>
          <cell r="E549"/>
        </row>
        <row r="550">
          <cell r="A550"/>
          <cell r="B550"/>
          <cell r="C550"/>
          <cell r="D550"/>
          <cell r="E550"/>
        </row>
        <row r="551">
          <cell r="A551"/>
          <cell r="B551"/>
          <cell r="C551"/>
          <cell r="D551"/>
          <cell r="E551"/>
        </row>
        <row r="552">
          <cell r="A552"/>
          <cell r="B552"/>
          <cell r="C552"/>
          <cell r="D552"/>
          <cell r="E552"/>
        </row>
        <row r="553">
          <cell r="A553"/>
          <cell r="B553"/>
          <cell r="C553"/>
          <cell r="D553"/>
          <cell r="E553"/>
        </row>
        <row r="554">
          <cell r="A554"/>
          <cell r="B554"/>
          <cell r="C554"/>
          <cell r="D554"/>
          <cell r="E554"/>
        </row>
        <row r="555">
          <cell r="A555"/>
          <cell r="B555"/>
          <cell r="C555"/>
          <cell r="D555"/>
          <cell r="E555"/>
        </row>
        <row r="556">
          <cell r="A556"/>
          <cell r="B556"/>
          <cell r="C556"/>
          <cell r="D556"/>
          <cell r="E556"/>
        </row>
        <row r="557">
          <cell r="A557"/>
          <cell r="B557"/>
          <cell r="C557"/>
          <cell r="D557"/>
          <cell r="E557"/>
        </row>
        <row r="558">
          <cell r="A558"/>
          <cell r="B558"/>
          <cell r="C558"/>
          <cell r="D558"/>
          <cell r="E558"/>
        </row>
        <row r="559">
          <cell r="A559"/>
          <cell r="B559"/>
          <cell r="C559"/>
          <cell r="D559"/>
          <cell r="E559"/>
        </row>
        <row r="560">
          <cell r="A560"/>
          <cell r="B560"/>
          <cell r="C560"/>
          <cell r="D560"/>
          <cell r="E560"/>
        </row>
        <row r="561">
          <cell r="A561"/>
          <cell r="B561"/>
          <cell r="C561"/>
          <cell r="D561"/>
          <cell r="E561"/>
        </row>
        <row r="562">
          <cell r="A562"/>
          <cell r="B562"/>
          <cell r="C562"/>
          <cell r="D562"/>
          <cell r="E562"/>
        </row>
        <row r="563">
          <cell r="A563"/>
          <cell r="B563"/>
          <cell r="C563"/>
          <cell r="D563"/>
          <cell r="E563"/>
        </row>
        <row r="564">
          <cell r="A564"/>
          <cell r="B564"/>
          <cell r="C564"/>
          <cell r="D564"/>
          <cell r="E564"/>
        </row>
        <row r="565">
          <cell r="A565"/>
          <cell r="B565"/>
          <cell r="C565"/>
          <cell r="D565"/>
          <cell r="E565"/>
        </row>
        <row r="566">
          <cell r="A566"/>
          <cell r="B566"/>
          <cell r="C566"/>
          <cell r="D566"/>
          <cell r="E566"/>
        </row>
        <row r="567">
          <cell r="A567"/>
          <cell r="B567"/>
          <cell r="C567"/>
          <cell r="D567"/>
          <cell r="E567"/>
        </row>
        <row r="568">
          <cell r="A568"/>
          <cell r="B568"/>
          <cell r="C568"/>
          <cell r="D568"/>
          <cell r="E568"/>
        </row>
        <row r="569">
          <cell r="A569"/>
          <cell r="B569"/>
          <cell r="C569"/>
          <cell r="D569"/>
          <cell r="E569"/>
        </row>
        <row r="570">
          <cell r="A570"/>
          <cell r="B570"/>
          <cell r="C570"/>
          <cell r="D570"/>
          <cell r="E570"/>
        </row>
        <row r="571">
          <cell r="A571"/>
          <cell r="B571"/>
          <cell r="C571"/>
          <cell r="D571"/>
          <cell r="E571"/>
        </row>
        <row r="572">
          <cell r="A572"/>
          <cell r="B572"/>
          <cell r="C572"/>
          <cell r="D572"/>
          <cell r="E572"/>
        </row>
        <row r="573">
          <cell r="A573"/>
          <cell r="B573"/>
          <cell r="C573"/>
          <cell r="D573"/>
          <cell r="E573"/>
        </row>
        <row r="574">
          <cell r="A574"/>
          <cell r="B574"/>
          <cell r="C574"/>
          <cell r="D574"/>
          <cell r="E574"/>
        </row>
        <row r="575">
          <cell r="A575"/>
          <cell r="B575"/>
          <cell r="C575"/>
          <cell r="D575"/>
          <cell r="E575"/>
        </row>
        <row r="576">
          <cell r="A576"/>
          <cell r="B576"/>
          <cell r="C576"/>
          <cell r="D576"/>
          <cell r="E576"/>
        </row>
        <row r="577">
          <cell r="A577"/>
          <cell r="B577"/>
          <cell r="C577"/>
          <cell r="D577"/>
          <cell r="E577"/>
        </row>
        <row r="578">
          <cell r="A578"/>
          <cell r="B578"/>
          <cell r="C578"/>
          <cell r="D578"/>
          <cell r="E578"/>
        </row>
        <row r="579">
          <cell r="A579"/>
          <cell r="B579"/>
          <cell r="C579"/>
          <cell r="D579"/>
          <cell r="E579"/>
        </row>
        <row r="580">
          <cell r="A580"/>
          <cell r="B580"/>
          <cell r="C580"/>
          <cell r="D580"/>
          <cell r="E580"/>
        </row>
        <row r="581">
          <cell r="A581"/>
          <cell r="B581"/>
          <cell r="C581"/>
          <cell r="D581"/>
          <cell r="E581"/>
        </row>
        <row r="582">
          <cell r="A582"/>
          <cell r="B582"/>
          <cell r="C582"/>
          <cell r="D582"/>
          <cell r="E582"/>
        </row>
        <row r="583">
          <cell r="A583"/>
          <cell r="B583"/>
          <cell r="C583"/>
          <cell r="D583"/>
          <cell r="E583"/>
        </row>
        <row r="584">
          <cell r="A584"/>
          <cell r="B584"/>
          <cell r="C584"/>
          <cell r="D584"/>
          <cell r="E584"/>
        </row>
        <row r="585">
          <cell r="A585"/>
          <cell r="B585"/>
          <cell r="C585"/>
          <cell r="D585"/>
          <cell r="E585"/>
        </row>
        <row r="586">
          <cell r="A586"/>
          <cell r="B586"/>
          <cell r="C586"/>
          <cell r="D586"/>
          <cell r="E586"/>
        </row>
        <row r="587">
          <cell r="A587"/>
          <cell r="B587"/>
          <cell r="C587"/>
          <cell r="D587"/>
          <cell r="E587"/>
        </row>
        <row r="588">
          <cell r="A588"/>
          <cell r="B588"/>
          <cell r="C588"/>
          <cell r="D588"/>
          <cell r="E588"/>
        </row>
        <row r="589">
          <cell r="A589"/>
          <cell r="B589"/>
          <cell r="C589"/>
          <cell r="D589"/>
          <cell r="E589"/>
        </row>
        <row r="590">
          <cell r="A590"/>
          <cell r="B590"/>
          <cell r="C590"/>
          <cell r="D590"/>
          <cell r="E590"/>
        </row>
        <row r="591">
          <cell r="A591"/>
          <cell r="B591"/>
          <cell r="C591"/>
          <cell r="D591"/>
          <cell r="E591"/>
        </row>
        <row r="592">
          <cell r="A592"/>
          <cell r="B592"/>
          <cell r="C592"/>
          <cell r="D592"/>
          <cell r="E592"/>
        </row>
        <row r="593">
          <cell r="A593"/>
          <cell r="B593"/>
          <cell r="C593"/>
          <cell r="D593"/>
          <cell r="E593"/>
        </row>
        <row r="594">
          <cell r="A594"/>
          <cell r="B594"/>
          <cell r="C594"/>
          <cell r="D594"/>
          <cell r="E594"/>
        </row>
        <row r="595">
          <cell r="A595"/>
          <cell r="B595"/>
          <cell r="C595"/>
          <cell r="D595"/>
          <cell r="E595"/>
        </row>
        <row r="596">
          <cell r="A596"/>
          <cell r="B596"/>
          <cell r="C596"/>
          <cell r="D596"/>
          <cell r="E596"/>
        </row>
        <row r="597">
          <cell r="A597"/>
          <cell r="B597"/>
          <cell r="C597"/>
          <cell r="D597"/>
          <cell r="E597"/>
        </row>
        <row r="598">
          <cell r="A598"/>
          <cell r="B598"/>
          <cell r="C598"/>
          <cell r="D598"/>
          <cell r="E598"/>
        </row>
        <row r="599">
          <cell r="A599"/>
          <cell r="B599"/>
          <cell r="C599"/>
          <cell r="D599"/>
          <cell r="E599"/>
        </row>
        <row r="600">
          <cell r="A600"/>
          <cell r="B600"/>
          <cell r="C600"/>
          <cell r="D600"/>
          <cell r="E600"/>
        </row>
        <row r="601">
          <cell r="A601"/>
          <cell r="B601"/>
          <cell r="C601"/>
          <cell r="D601"/>
          <cell r="E601"/>
        </row>
        <row r="602">
          <cell r="A602"/>
          <cell r="B602"/>
          <cell r="C602"/>
          <cell r="D602"/>
          <cell r="E602"/>
        </row>
        <row r="603">
          <cell r="A603"/>
          <cell r="B603"/>
          <cell r="C603"/>
          <cell r="D603"/>
          <cell r="E603"/>
        </row>
        <row r="604">
          <cell r="A604"/>
          <cell r="B604"/>
          <cell r="C604"/>
          <cell r="D604"/>
          <cell r="E604"/>
        </row>
        <row r="605">
          <cell r="A605"/>
          <cell r="B605"/>
          <cell r="C605"/>
          <cell r="D605"/>
          <cell r="E605"/>
        </row>
        <row r="606">
          <cell r="A606"/>
          <cell r="B606"/>
          <cell r="C606"/>
          <cell r="D606"/>
          <cell r="E606"/>
        </row>
        <row r="607">
          <cell r="A607"/>
          <cell r="B607"/>
          <cell r="C607"/>
          <cell r="D607"/>
          <cell r="E607"/>
        </row>
        <row r="608">
          <cell r="A608"/>
          <cell r="B608"/>
          <cell r="C608"/>
          <cell r="D608"/>
          <cell r="E608"/>
        </row>
        <row r="609">
          <cell r="A609"/>
          <cell r="B609"/>
          <cell r="C609"/>
          <cell r="D609"/>
          <cell r="E609"/>
        </row>
        <row r="610">
          <cell r="A610"/>
          <cell r="B610"/>
          <cell r="C610"/>
          <cell r="D610"/>
          <cell r="E610"/>
        </row>
        <row r="611">
          <cell r="A611"/>
          <cell r="B611"/>
          <cell r="C611"/>
          <cell r="D611"/>
          <cell r="E611"/>
        </row>
        <row r="612">
          <cell r="A612"/>
          <cell r="B612"/>
          <cell r="C612"/>
          <cell r="D612"/>
          <cell r="E612"/>
        </row>
        <row r="613">
          <cell r="A613"/>
          <cell r="B613"/>
          <cell r="C613"/>
          <cell r="D613"/>
          <cell r="E613"/>
        </row>
        <row r="614">
          <cell r="A614"/>
          <cell r="B614"/>
          <cell r="C614"/>
          <cell r="D614"/>
          <cell r="E614"/>
        </row>
      </sheetData>
      <sheetData sheetId="3">
        <row r="2">
          <cell r="A2">
            <v>2256403</v>
          </cell>
          <cell r="B2" t="str">
            <v>Jomar</v>
          </cell>
          <cell r="C2">
            <v>43739.366712962961</v>
          </cell>
          <cell r="D2" t="str">
            <v>Not required</v>
          </cell>
        </row>
        <row r="3">
          <cell r="A3">
            <v>2255718</v>
          </cell>
          <cell r="B3" t="str">
            <v>Jomar</v>
          </cell>
          <cell r="C3">
            <v>43739.380416666667</v>
          </cell>
          <cell r="D3" t="str">
            <v>shortlisted</v>
          </cell>
        </row>
        <row r="4">
          <cell r="A4">
            <v>2255288</v>
          </cell>
          <cell r="B4" t="str">
            <v>Mubashar</v>
          </cell>
          <cell r="C4">
            <v>43739.410162037035</v>
          </cell>
          <cell r="D4" t="str">
            <v>RCC FV to be shared</v>
          </cell>
        </row>
        <row r="5">
          <cell r="A5">
            <v>2256121</v>
          </cell>
          <cell r="B5" t="str">
            <v>shamika</v>
          </cell>
          <cell r="C5">
            <v>43739.410254629627</v>
          </cell>
          <cell r="D5" t="str">
            <v>shortlisted</v>
          </cell>
        </row>
        <row r="6">
          <cell r="A6">
            <v>2254894</v>
          </cell>
          <cell r="B6" t="str">
            <v>shamika</v>
          </cell>
          <cell r="C6">
            <v>43739.442743055559</v>
          </cell>
          <cell r="D6" t="str">
            <v>shortlisted</v>
          </cell>
        </row>
        <row r="7">
          <cell r="A7">
            <v>2255721</v>
          </cell>
          <cell r="B7" t="str">
            <v>Mubashar</v>
          </cell>
          <cell r="C7">
            <v>43739.450324074074</v>
          </cell>
          <cell r="D7" t="str">
            <v>Not required - Self employed</v>
          </cell>
        </row>
        <row r="8">
          <cell r="A8">
            <v>2255901</v>
          </cell>
          <cell r="B8" t="str">
            <v>shamika</v>
          </cell>
          <cell r="C8">
            <v>43739.451574074075</v>
          </cell>
          <cell r="D8" t="str">
            <v>shortlisted</v>
          </cell>
        </row>
        <row r="9">
          <cell r="A9">
            <v>2254020</v>
          </cell>
          <cell r="B9" t="str">
            <v>Mubashar</v>
          </cell>
          <cell r="C9">
            <v>43739.452291666668</v>
          </cell>
          <cell r="D9" t="str">
            <v>shortlisted</v>
          </cell>
        </row>
        <row r="10">
          <cell r="A10">
            <v>2256463</v>
          </cell>
          <cell r="B10" t="str">
            <v>Shamsi</v>
          </cell>
          <cell r="C10">
            <v>43739.470949074072</v>
          </cell>
          <cell r="D10" t="str">
            <v>shortlisted</v>
          </cell>
        </row>
        <row r="11">
          <cell r="A11">
            <v>2256503</v>
          </cell>
          <cell r="B11" t="str">
            <v>Shamsi</v>
          </cell>
          <cell r="C11">
            <v>43739.471504629626</v>
          </cell>
          <cell r="D11" t="str">
            <v>RCC FV to be shared</v>
          </cell>
        </row>
        <row r="12">
          <cell r="A12">
            <v>2257583</v>
          </cell>
          <cell r="B12" t="str">
            <v>Jomar</v>
          </cell>
          <cell r="C12">
            <v>43739.540543981479</v>
          </cell>
          <cell r="D12" t="str">
            <v>shortlisted</v>
          </cell>
        </row>
        <row r="13">
          <cell r="A13">
            <v>2256749</v>
          </cell>
          <cell r="B13" t="str">
            <v>Umair</v>
          </cell>
          <cell r="C13">
            <v>43739.554965277777</v>
          </cell>
          <cell r="D13" t="str">
            <v>shortlisted</v>
          </cell>
        </row>
        <row r="14">
          <cell r="A14">
            <v>2257732</v>
          </cell>
          <cell r="B14" t="str">
            <v>Diana</v>
          </cell>
          <cell r="C14">
            <v>43739.556886574072</v>
          </cell>
          <cell r="D14" t="str">
            <v>Not required</v>
          </cell>
        </row>
        <row r="15">
          <cell r="A15">
            <v>2255612</v>
          </cell>
          <cell r="B15" t="str">
            <v>Shamsi</v>
          </cell>
          <cell r="C15">
            <v>43739.572754629633</v>
          </cell>
          <cell r="D15" t="str">
            <v>shortlisted</v>
          </cell>
        </row>
        <row r="16">
          <cell r="A16">
            <v>2256373</v>
          </cell>
          <cell r="B16" t="str">
            <v>Mubashar</v>
          </cell>
          <cell r="C16">
            <v>43739.583483796298</v>
          </cell>
          <cell r="D16" t="str">
            <v>shortlisted</v>
          </cell>
        </row>
        <row r="17">
          <cell r="A17">
            <v>2258131</v>
          </cell>
          <cell r="B17" t="str">
            <v>Umair</v>
          </cell>
          <cell r="C17">
            <v>43739.590046296296</v>
          </cell>
          <cell r="D17" t="str">
            <v>shortlisted</v>
          </cell>
        </row>
        <row r="18">
          <cell r="A18">
            <v>2257225</v>
          </cell>
          <cell r="B18" t="str">
            <v>Mubashar</v>
          </cell>
          <cell r="C18">
            <v>43739.646099537036</v>
          </cell>
          <cell r="D18" t="str">
            <v>shortlisted</v>
          </cell>
        </row>
        <row r="19">
          <cell r="A19">
            <v>2256740</v>
          </cell>
          <cell r="B19" t="str">
            <v>Mubashar</v>
          </cell>
          <cell r="C19">
            <v>43739.65829861111</v>
          </cell>
          <cell r="D19" t="str">
            <v>shortlisted</v>
          </cell>
        </row>
        <row r="20">
          <cell r="A20">
            <v>2256537</v>
          </cell>
          <cell r="B20" t="str">
            <v>Jomar</v>
          </cell>
          <cell r="C20">
            <v>43739.66269675926</v>
          </cell>
          <cell r="D20" t="str">
            <v>shortlisted</v>
          </cell>
        </row>
        <row r="21">
          <cell r="A21">
            <v>2258031</v>
          </cell>
          <cell r="B21" t="str">
            <v>Brayan</v>
          </cell>
          <cell r="C21">
            <v>43739.676215277781</v>
          </cell>
          <cell r="D21" t="str">
            <v>shortlisted</v>
          </cell>
        </row>
        <row r="22">
          <cell r="A22">
            <v>2257309</v>
          </cell>
          <cell r="B22" t="str">
            <v>Diana</v>
          </cell>
          <cell r="C22">
            <v>43740.365069444444</v>
          </cell>
          <cell r="D22" t="str">
            <v>RCC FV to be shared</v>
          </cell>
        </row>
        <row r="23">
          <cell r="A23">
            <v>2256036</v>
          </cell>
          <cell r="B23" t="str">
            <v>Diana</v>
          </cell>
          <cell r="C23">
            <v>43740.380659722221</v>
          </cell>
          <cell r="D23" t="str">
            <v>RCC FV to be shared</v>
          </cell>
        </row>
        <row r="24">
          <cell r="A24">
            <v>2256754</v>
          </cell>
          <cell r="B24" t="str">
            <v>Mubashar</v>
          </cell>
          <cell r="C24">
            <v>43740.384618055556</v>
          </cell>
          <cell r="D24" t="str">
            <v>shortlisted</v>
          </cell>
        </row>
        <row r="25">
          <cell r="A25">
            <v>2256699</v>
          </cell>
          <cell r="B25" t="str">
            <v>samaleh</v>
          </cell>
          <cell r="C25">
            <v>43740.411273148151</v>
          </cell>
          <cell r="D25" t="str">
            <v>shortlisted</v>
          </cell>
        </row>
        <row r="26">
          <cell r="A26">
            <v>2256782</v>
          </cell>
          <cell r="B26" t="str">
            <v>samaleh</v>
          </cell>
          <cell r="C26">
            <v>43740.446273148147</v>
          </cell>
          <cell r="D26" t="str">
            <v>shortlisted</v>
          </cell>
        </row>
        <row r="27">
          <cell r="A27">
            <v>2257642</v>
          </cell>
          <cell r="B27" t="str">
            <v>Diana</v>
          </cell>
          <cell r="C27">
            <v>43740.448078703703</v>
          </cell>
          <cell r="D27" t="str">
            <v>shortlisted</v>
          </cell>
        </row>
        <row r="28">
          <cell r="A28">
            <v>2256837</v>
          </cell>
          <cell r="B28" t="str">
            <v>samaleh</v>
          </cell>
          <cell r="C28">
            <v>43740.457256944443</v>
          </cell>
          <cell r="D28" t="str">
            <v>shortlisted</v>
          </cell>
        </row>
        <row r="29">
          <cell r="A29">
            <v>2257303</v>
          </cell>
          <cell r="B29" t="str">
            <v>Diana</v>
          </cell>
          <cell r="C29">
            <v>43740.469131944446</v>
          </cell>
          <cell r="D29" t="str">
            <v>shortlisted</v>
          </cell>
        </row>
        <row r="30">
          <cell r="A30">
            <v>2257730</v>
          </cell>
          <cell r="B30" t="str">
            <v>samaleh</v>
          </cell>
          <cell r="C30">
            <v>43740.488599537035</v>
          </cell>
          <cell r="D30" t="str">
            <v>Not required</v>
          </cell>
        </row>
        <row r="31">
          <cell r="A31">
            <v>2257744</v>
          </cell>
          <cell r="B31" t="str">
            <v>Rajesh</v>
          </cell>
          <cell r="C31">
            <v>43740.488981481481</v>
          </cell>
          <cell r="D31" t="str">
            <v>shortlisted</v>
          </cell>
        </row>
        <row r="32">
          <cell r="A32">
            <v>2257485</v>
          </cell>
          <cell r="B32" t="str">
            <v>Rajesh</v>
          </cell>
          <cell r="C32">
            <v>43740.50273148148</v>
          </cell>
          <cell r="D32" t="str">
            <v>Not required - Co: Banking</v>
          </cell>
        </row>
        <row r="33">
          <cell r="A33">
            <v>2257500</v>
          </cell>
          <cell r="B33" t="str">
            <v>Shamika</v>
          </cell>
          <cell r="C33">
            <v>43740.516365740739</v>
          </cell>
          <cell r="D33" t="str">
            <v>shortlisted</v>
          </cell>
        </row>
        <row r="34">
          <cell r="A34">
            <v>2257971</v>
          </cell>
          <cell r="B34" t="str">
            <v>Samaleh</v>
          </cell>
          <cell r="C34">
            <v>43740.574120370373</v>
          </cell>
          <cell r="D34" t="str">
            <v>shortlisted</v>
          </cell>
        </row>
        <row r="35">
          <cell r="A35">
            <v>2258072</v>
          </cell>
          <cell r="B35" t="str">
            <v>Samaleh</v>
          </cell>
          <cell r="C35">
            <v>43740.582465277781</v>
          </cell>
          <cell r="D35" t="str">
            <v>shortlisted</v>
          </cell>
        </row>
        <row r="36">
          <cell r="A36">
            <v>2258550</v>
          </cell>
          <cell r="B36" t="str">
            <v>Mubashar</v>
          </cell>
          <cell r="C36">
            <v>43740.637939814813</v>
          </cell>
          <cell r="D36" t="str">
            <v>RCC FV to be shared</v>
          </cell>
        </row>
        <row r="37">
          <cell r="A37">
            <v>2258550</v>
          </cell>
          <cell r="B37" t="str">
            <v>Mubashar</v>
          </cell>
          <cell r="C37">
            <v>43740.643634259257</v>
          </cell>
          <cell r="D37" t="str">
            <v>Duplicate</v>
          </cell>
        </row>
        <row r="38">
          <cell r="A38">
            <v>2258132</v>
          </cell>
          <cell r="B38" t="str">
            <v>Diana</v>
          </cell>
          <cell r="C38">
            <v>43740.648078703707</v>
          </cell>
          <cell r="D38" t="str">
            <v>RCC FV to be shared</v>
          </cell>
        </row>
        <row r="39">
          <cell r="A39">
            <v>2257300</v>
          </cell>
          <cell r="B39" t="str">
            <v>Samaleh</v>
          </cell>
          <cell r="C39">
            <v>43740.652048611111</v>
          </cell>
          <cell r="D39" t="str">
            <v>RCC FV to be shared</v>
          </cell>
        </row>
        <row r="40">
          <cell r="A40">
            <v>2258253</v>
          </cell>
          <cell r="B40" t="str">
            <v>Samaleh</v>
          </cell>
          <cell r="C40">
            <v>43740.667384259257</v>
          </cell>
          <cell r="D40" t="str">
            <v>shortlisted</v>
          </cell>
        </row>
        <row r="41">
          <cell r="A41">
            <v>2257687</v>
          </cell>
          <cell r="B41" t="str">
            <v>Rajesh</v>
          </cell>
          <cell r="C41">
            <v>43740.668020833335</v>
          </cell>
          <cell r="D41" t="str">
            <v>shortlisted</v>
          </cell>
        </row>
        <row r="42">
          <cell r="A42">
            <v>2257962</v>
          </cell>
          <cell r="B42" t="str">
            <v>Carlo</v>
          </cell>
          <cell r="C42">
            <v>43740.668287037035</v>
          </cell>
          <cell r="D42" t="str">
            <v>shortlisted</v>
          </cell>
        </row>
        <row r="43">
          <cell r="A43">
            <v>2257128</v>
          </cell>
          <cell r="B43" t="str">
            <v>Shamika</v>
          </cell>
          <cell r="C43">
            <v>43740.694861111115</v>
          </cell>
          <cell r="D43" t="str">
            <v>shortlisted</v>
          </cell>
        </row>
        <row r="44">
          <cell r="A44">
            <v>2257897</v>
          </cell>
          <cell r="B44" t="str">
            <v>Shamika</v>
          </cell>
          <cell r="C44">
            <v>43741.354155092595</v>
          </cell>
          <cell r="D44" t="str">
            <v>shortlisted</v>
          </cell>
        </row>
        <row r="45">
          <cell r="A45">
            <v>2258313</v>
          </cell>
          <cell r="B45" t="str">
            <v>Agnes</v>
          </cell>
          <cell r="C45">
            <v>43741.360497685186</v>
          </cell>
          <cell r="D45" t="str">
            <v>shortlisted</v>
          </cell>
        </row>
        <row r="46">
          <cell r="A46">
            <v>2256742</v>
          </cell>
          <cell r="B46" t="str">
            <v>Shamika</v>
          </cell>
          <cell r="C46">
            <v>43741.360659722224</v>
          </cell>
          <cell r="D46" t="str">
            <v>shortlisted</v>
          </cell>
        </row>
        <row r="47">
          <cell r="A47">
            <v>2257421</v>
          </cell>
          <cell r="B47" t="str">
            <v>Pravjot</v>
          </cell>
          <cell r="C47">
            <v>43741.390335648146</v>
          </cell>
          <cell r="D47" t="str">
            <v>shortlisted</v>
          </cell>
        </row>
        <row r="48">
          <cell r="A48">
            <v>2257899</v>
          </cell>
          <cell r="B48" t="str">
            <v>Jomar</v>
          </cell>
          <cell r="C48">
            <v>43741.396331018521</v>
          </cell>
          <cell r="D48" t="str">
            <v>RCC FV to be shared</v>
          </cell>
        </row>
        <row r="49">
          <cell r="A49">
            <v>2258734</v>
          </cell>
          <cell r="B49" t="str">
            <v>Mubashar</v>
          </cell>
          <cell r="C49">
            <v>43741.412766203706</v>
          </cell>
          <cell r="D49" t="str">
            <v>RCC FV to be shared</v>
          </cell>
        </row>
        <row r="50">
          <cell r="A50">
            <v>2258688</v>
          </cell>
          <cell r="B50" t="str">
            <v>Mubashar</v>
          </cell>
          <cell r="C50">
            <v>43741.449050925927</v>
          </cell>
          <cell r="D50" t="str">
            <v>shortlisted</v>
          </cell>
        </row>
        <row r="51">
          <cell r="A51">
            <v>2258011</v>
          </cell>
          <cell r="B51" t="str">
            <v>Agnes</v>
          </cell>
          <cell r="C51">
            <v>43741.451365740744</v>
          </cell>
          <cell r="D51" t="str">
            <v>Not Required</v>
          </cell>
        </row>
        <row r="52">
          <cell r="A52">
            <v>2258751</v>
          </cell>
          <cell r="B52" t="str">
            <v>Rajesh</v>
          </cell>
          <cell r="C52">
            <v>43741.453159722223</v>
          </cell>
          <cell r="D52" t="str">
            <v>Not Required</v>
          </cell>
        </row>
        <row r="53">
          <cell r="A53">
            <v>2258287</v>
          </cell>
          <cell r="B53" t="str">
            <v>Samaleh</v>
          </cell>
          <cell r="C53">
            <v>43741.453726851854</v>
          </cell>
          <cell r="D53" t="str">
            <v>Not Required</v>
          </cell>
        </row>
        <row r="54">
          <cell r="A54">
            <v>2258293</v>
          </cell>
          <cell r="B54" t="str">
            <v>Samaleh</v>
          </cell>
          <cell r="C54">
            <v>43741.458437499998</v>
          </cell>
          <cell r="D54" t="str">
            <v>shortlisted</v>
          </cell>
        </row>
        <row r="55">
          <cell r="A55">
            <v>2257872</v>
          </cell>
          <cell r="B55" t="str">
            <v>Rajesh</v>
          </cell>
          <cell r="C55">
            <v>43741.459328703706</v>
          </cell>
          <cell r="D55" t="str">
            <v>shortlisted</v>
          </cell>
        </row>
        <row r="56">
          <cell r="A56">
            <v>2257415</v>
          </cell>
          <cell r="B56" t="str">
            <v>Carlo</v>
          </cell>
          <cell r="C56">
            <v>43741.460462962961</v>
          </cell>
          <cell r="D56" t="str">
            <v>Not Required</v>
          </cell>
        </row>
        <row r="57">
          <cell r="A57">
            <v>2260028</v>
          </cell>
          <cell r="B57" t="str">
            <v>Agnes</v>
          </cell>
          <cell r="C57">
            <v>43741.46199074074</v>
          </cell>
          <cell r="D57" t="str">
            <v>shortlisted</v>
          </cell>
        </row>
        <row r="58">
          <cell r="A58">
            <v>2258714</v>
          </cell>
          <cell r="B58" t="str">
            <v>Shamika</v>
          </cell>
          <cell r="C58">
            <v>43741.462893518517</v>
          </cell>
          <cell r="D58" t="str">
            <v>shortlisted</v>
          </cell>
        </row>
        <row r="59">
          <cell r="A59">
            <v>2258579</v>
          </cell>
          <cell r="B59" t="str">
            <v>Rajesh</v>
          </cell>
          <cell r="C59">
            <v>43741.463402777779</v>
          </cell>
          <cell r="D59" t="str">
            <v>Not Required</v>
          </cell>
        </row>
        <row r="60">
          <cell r="A60">
            <v>2257651</v>
          </cell>
          <cell r="B60" t="str">
            <v>Carlo</v>
          </cell>
          <cell r="C60">
            <v>43741.464583333334</v>
          </cell>
          <cell r="D60" t="str">
            <v>shortlisted</v>
          </cell>
        </row>
        <row r="61">
          <cell r="A61">
            <v>2257440</v>
          </cell>
          <cell r="B61" t="str">
            <v>Rajesh</v>
          </cell>
          <cell r="C61">
            <v>43741.478113425925</v>
          </cell>
          <cell r="D61" t="str">
            <v>Not Required</v>
          </cell>
        </row>
        <row r="62">
          <cell r="A62">
            <v>2258405</v>
          </cell>
          <cell r="B62" t="str">
            <v>Diana</v>
          </cell>
          <cell r="C62">
            <v>43741.481122685182</v>
          </cell>
          <cell r="D62" t="str">
            <v>shortlisted</v>
          </cell>
        </row>
        <row r="63">
          <cell r="A63">
            <v>2257963</v>
          </cell>
          <cell r="B63" t="str">
            <v>Samaleh</v>
          </cell>
          <cell r="C63">
            <v>43741.485081018516</v>
          </cell>
          <cell r="D63" t="str">
            <v>shortlisted</v>
          </cell>
        </row>
        <row r="64">
          <cell r="A64">
            <v>2257696</v>
          </cell>
          <cell r="B64" t="str">
            <v>Carlo</v>
          </cell>
          <cell r="C64">
            <v>43741.501099537039</v>
          </cell>
          <cell r="D64" t="str">
            <v>shortlisted</v>
          </cell>
        </row>
        <row r="65">
          <cell r="A65" t="str">
            <v>2258354/2261839</v>
          </cell>
          <cell r="B65" t="str">
            <v>Samaleh</v>
          </cell>
          <cell r="C65">
            <v>43741.506377314814</v>
          </cell>
          <cell r="D65" t="str">
            <v>RCC FV to be shared</v>
          </cell>
        </row>
        <row r="66">
          <cell r="A66">
            <v>2258556</v>
          </cell>
          <cell r="B66" t="str">
            <v>Diana</v>
          </cell>
          <cell r="C66">
            <v>43741.508171296293</v>
          </cell>
          <cell r="D66" t="str">
            <v>Not Required</v>
          </cell>
        </row>
        <row r="67">
          <cell r="A67">
            <v>2257878</v>
          </cell>
          <cell r="B67" t="str">
            <v>Shamika</v>
          </cell>
          <cell r="C67">
            <v>43741.511157407411</v>
          </cell>
          <cell r="D67" t="str">
            <v>Not Required</v>
          </cell>
        </row>
        <row r="68">
          <cell r="A68">
            <v>2259971</v>
          </cell>
          <cell r="B68" t="str">
            <v>Samaleh</v>
          </cell>
          <cell r="C68">
            <v>43741.548333333332</v>
          </cell>
          <cell r="D68" t="str">
            <v>Not Required</v>
          </cell>
        </row>
        <row r="69">
          <cell r="A69">
            <v>2257799</v>
          </cell>
          <cell r="B69" t="str">
            <v>Rajesh</v>
          </cell>
          <cell r="C69">
            <v>43741.553194444445</v>
          </cell>
          <cell r="D69" t="str">
            <v>Not Required</v>
          </cell>
        </row>
        <row r="70">
          <cell r="A70">
            <v>2259906</v>
          </cell>
          <cell r="B70" t="str">
            <v>Carlo</v>
          </cell>
          <cell r="C70">
            <v>43741.584826388891</v>
          </cell>
          <cell r="D70" t="str">
            <v>Not Required</v>
          </cell>
        </row>
        <row r="71">
          <cell r="A71">
            <v>2258752</v>
          </cell>
          <cell r="B71" t="str">
            <v>Carlo</v>
          </cell>
          <cell r="C71">
            <v>43741.590682870374</v>
          </cell>
          <cell r="D71" t="str">
            <v>shortlisted</v>
          </cell>
        </row>
        <row r="72">
          <cell r="A72">
            <v>2257208</v>
          </cell>
          <cell r="B72" t="str">
            <v>Rajesh</v>
          </cell>
          <cell r="C72">
            <v>43741.603831018518</v>
          </cell>
          <cell r="D72" t="str">
            <v>Not Required</v>
          </cell>
        </row>
        <row r="73">
          <cell r="A73">
            <v>2259207</v>
          </cell>
          <cell r="B73" t="str">
            <v>Rajesh</v>
          </cell>
          <cell r="C73">
            <v>43741.610092592593</v>
          </cell>
          <cell r="D73" t="str">
            <v>shortlisted</v>
          </cell>
        </row>
        <row r="74">
          <cell r="A74">
            <v>2244094</v>
          </cell>
          <cell r="B74" t="str">
            <v>Diana</v>
          </cell>
          <cell r="C74">
            <v>43741.614930555559</v>
          </cell>
          <cell r="D74" t="str">
            <v>Not Required</v>
          </cell>
        </row>
        <row r="75">
          <cell r="A75">
            <v>2258654</v>
          </cell>
          <cell r="B75" t="str">
            <v>Shamsi</v>
          </cell>
          <cell r="C75">
            <v>43741.622604166667</v>
          </cell>
          <cell r="D75" t="str">
            <v>Duplicate of other queries</v>
          </cell>
        </row>
        <row r="76">
          <cell r="A76">
            <v>2258478</v>
          </cell>
          <cell r="B76" t="str">
            <v>Pravjot</v>
          </cell>
          <cell r="C76">
            <v>43741.637638888889</v>
          </cell>
          <cell r="D76" t="str">
            <v>shortlisted</v>
          </cell>
        </row>
        <row r="77">
          <cell r="A77">
            <v>2259954</v>
          </cell>
          <cell r="B77" t="str">
            <v>Shamika</v>
          </cell>
          <cell r="C77">
            <v>43741.639490740738</v>
          </cell>
          <cell r="D77" t="str">
            <v>shortlisted</v>
          </cell>
        </row>
        <row r="78">
          <cell r="A78">
            <v>2256041</v>
          </cell>
          <cell r="B78" t="str">
            <v>Mubashar</v>
          </cell>
          <cell r="C78">
            <v>43741.656446759262</v>
          </cell>
          <cell r="D78" t="str">
            <v>shortlisted</v>
          </cell>
        </row>
        <row r="79">
          <cell r="A79">
            <v>2260081</v>
          </cell>
          <cell r="B79" t="str">
            <v>Jomar</v>
          </cell>
          <cell r="C79">
            <v>43743.438090277778</v>
          </cell>
          <cell r="D79"/>
        </row>
        <row r="80">
          <cell r="A80">
            <v>2259660</v>
          </cell>
          <cell r="B80" t="str">
            <v>Rajesh</v>
          </cell>
          <cell r="C80">
            <v>43743.458784722221</v>
          </cell>
          <cell r="D80"/>
        </row>
        <row r="81">
          <cell r="A81">
            <v>2259946</v>
          </cell>
          <cell r="B81" t="str">
            <v>Pravjot</v>
          </cell>
          <cell r="C81">
            <v>43743.495046296295</v>
          </cell>
          <cell r="D81"/>
        </row>
        <row r="82">
          <cell r="A82">
            <v>2259800</v>
          </cell>
          <cell r="B82" t="str">
            <v>Pravjot</v>
          </cell>
          <cell r="C82">
            <v>43743.509571759256</v>
          </cell>
          <cell r="D82"/>
        </row>
        <row r="83">
          <cell r="A83">
            <v>2258200</v>
          </cell>
          <cell r="B83" t="str">
            <v>Rajesh</v>
          </cell>
          <cell r="C83">
            <v>43743.509895833333</v>
          </cell>
          <cell r="D83"/>
        </row>
        <row r="84">
          <cell r="A84">
            <v>2259803</v>
          </cell>
          <cell r="B84" t="str">
            <v>Pravjot</v>
          </cell>
          <cell r="C84">
            <v>43743.514120370368</v>
          </cell>
          <cell r="D84"/>
        </row>
        <row r="85">
          <cell r="A85">
            <v>2259727</v>
          </cell>
          <cell r="B85" t="str">
            <v>Rajesh</v>
          </cell>
          <cell r="C85">
            <v>43743.542129629626</v>
          </cell>
          <cell r="D85"/>
        </row>
        <row r="86">
          <cell r="A86">
            <v>2259518</v>
          </cell>
          <cell r="B86" t="str">
            <v>Pravjot</v>
          </cell>
          <cell r="C86">
            <v>43743.54247685185</v>
          </cell>
          <cell r="D86"/>
        </row>
        <row r="87">
          <cell r="A87">
            <v>2259489</v>
          </cell>
          <cell r="B87" t="str">
            <v>Pravjot</v>
          </cell>
          <cell r="C87">
            <v>43743.545636574076</v>
          </cell>
          <cell r="D87"/>
        </row>
        <row r="88">
          <cell r="A88">
            <v>2259663</v>
          </cell>
          <cell r="B88" t="str">
            <v>Rajesh</v>
          </cell>
          <cell r="C88">
            <v>43743.549791666665</v>
          </cell>
          <cell r="D88"/>
        </row>
        <row r="89">
          <cell r="A89">
            <v>2259419</v>
          </cell>
          <cell r="B89" t="str">
            <v>Carlo</v>
          </cell>
          <cell r="C89">
            <v>43743.567199074074</v>
          </cell>
          <cell r="D89"/>
        </row>
        <row r="90">
          <cell r="A90">
            <v>2261148</v>
          </cell>
          <cell r="B90" t="str">
            <v>Rajesh</v>
          </cell>
          <cell r="C90">
            <v>43743.576736111114</v>
          </cell>
          <cell r="D90"/>
        </row>
        <row r="91">
          <cell r="A91">
            <v>2259163</v>
          </cell>
          <cell r="B91" t="str">
            <v>Pravjot</v>
          </cell>
          <cell r="C91">
            <v>43743.609039351853</v>
          </cell>
          <cell r="D91"/>
        </row>
        <row r="92">
          <cell r="A92">
            <v>2259708</v>
          </cell>
          <cell r="B92" t="str">
            <v>Carlo</v>
          </cell>
          <cell r="C92">
            <v>43743.617511574077</v>
          </cell>
          <cell r="D92"/>
        </row>
        <row r="93">
          <cell r="A93">
            <v>2261092</v>
          </cell>
          <cell r="B93" t="str">
            <v>Rajesh</v>
          </cell>
          <cell r="C93">
            <v>43743.629814814813</v>
          </cell>
          <cell r="D93"/>
        </row>
        <row r="94">
          <cell r="A94">
            <v>2259665</v>
          </cell>
          <cell r="B94" t="str">
            <v>Jomar</v>
          </cell>
          <cell r="C94">
            <v>43743.641921296294</v>
          </cell>
          <cell r="D94"/>
        </row>
        <row r="95">
          <cell r="A95">
            <v>2261185</v>
          </cell>
          <cell r="B95" t="str">
            <v>Samaleh</v>
          </cell>
          <cell r="C95">
            <v>43743.651041666664</v>
          </cell>
          <cell r="D95"/>
        </row>
        <row r="96">
          <cell r="A96">
            <v>2261180</v>
          </cell>
          <cell r="B96" t="str">
            <v>Samaleh</v>
          </cell>
          <cell r="C96">
            <v>43743.659710648149</v>
          </cell>
          <cell r="D96"/>
        </row>
        <row r="97">
          <cell r="A97">
            <v>2260366</v>
          </cell>
          <cell r="B97" t="str">
            <v>Samaleh</v>
          </cell>
          <cell r="C97">
            <v>43743.666064814817</v>
          </cell>
          <cell r="D97"/>
        </row>
        <row r="98">
          <cell r="A98">
            <v>2260713</v>
          </cell>
          <cell r="B98" t="str">
            <v>Carlo</v>
          </cell>
          <cell r="C98">
            <v>43743.667013888888</v>
          </cell>
          <cell r="D98"/>
        </row>
        <row r="99">
          <cell r="A99">
            <v>2260344</v>
          </cell>
          <cell r="B99" t="str">
            <v>Samaleh</v>
          </cell>
          <cell r="C99">
            <v>43743.672962962963</v>
          </cell>
          <cell r="D99"/>
        </row>
        <row r="100">
          <cell r="A100">
            <v>2261166</v>
          </cell>
          <cell r="B100" t="str">
            <v>Samaleh</v>
          </cell>
          <cell r="C100">
            <v>43743.704826388886</v>
          </cell>
          <cell r="D100"/>
        </row>
        <row r="101">
          <cell r="A101">
            <v>2261145</v>
          </cell>
          <cell r="B101" t="str">
            <v>Samaleh</v>
          </cell>
          <cell r="C101">
            <v>43743.709849537037</v>
          </cell>
          <cell r="D101"/>
        </row>
        <row r="102">
          <cell r="A102">
            <v>2260386</v>
          </cell>
          <cell r="B102" t="str">
            <v>Samaleh</v>
          </cell>
          <cell r="C102">
            <v>43743.728865740741</v>
          </cell>
          <cell r="D102"/>
        </row>
        <row r="103">
          <cell r="A103">
            <v>2260282</v>
          </cell>
          <cell r="B103" t="str">
            <v>Samaleh</v>
          </cell>
          <cell r="C103">
            <v>43743.747835648152</v>
          </cell>
          <cell r="D103"/>
        </row>
        <row r="104">
          <cell r="A104">
            <v>2259405</v>
          </cell>
          <cell r="B104" t="str">
            <v>Samaleh</v>
          </cell>
          <cell r="C104">
            <v>43743.756203703706</v>
          </cell>
          <cell r="D104"/>
        </row>
        <row r="105">
          <cell r="A105">
            <v>2259973</v>
          </cell>
          <cell r="B105" t="str">
            <v>Samaleh</v>
          </cell>
          <cell r="C105">
            <v>43743.760879629626</v>
          </cell>
          <cell r="D105"/>
        </row>
        <row r="106">
          <cell r="A106">
            <v>2260976</v>
          </cell>
          <cell r="B106" t="str">
            <v>Samaleh</v>
          </cell>
          <cell r="C106">
            <v>43743.763564814813</v>
          </cell>
          <cell r="D106"/>
        </row>
        <row r="107">
          <cell r="A107"/>
          <cell r="B107"/>
          <cell r="C107"/>
          <cell r="D107"/>
        </row>
        <row r="108">
          <cell r="A108"/>
          <cell r="B108"/>
          <cell r="C108"/>
          <cell r="D108"/>
        </row>
        <row r="109">
          <cell r="A109"/>
          <cell r="B109"/>
          <cell r="C109"/>
          <cell r="D109"/>
        </row>
        <row r="110">
          <cell r="A110"/>
          <cell r="B110"/>
          <cell r="C110"/>
          <cell r="D110"/>
        </row>
        <row r="111">
          <cell r="A111"/>
          <cell r="B111"/>
          <cell r="C111"/>
          <cell r="D111"/>
        </row>
        <row r="112">
          <cell r="A112"/>
          <cell r="B112"/>
          <cell r="C112"/>
          <cell r="D112"/>
        </row>
        <row r="113">
          <cell r="A113"/>
          <cell r="B113"/>
          <cell r="C113"/>
          <cell r="D113"/>
        </row>
        <row r="114">
          <cell r="A114"/>
          <cell r="B114"/>
          <cell r="C114"/>
          <cell r="D114"/>
        </row>
        <row r="115">
          <cell r="A115"/>
          <cell r="B115"/>
          <cell r="C115"/>
          <cell r="D115"/>
        </row>
        <row r="116">
          <cell r="A116"/>
          <cell r="B116"/>
          <cell r="C116"/>
          <cell r="D116"/>
        </row>
        <row r="117">
          <cell r="A117"/>
          <cell r="B117"/>
          <cell r="C117"/>
          <cell r="D117"/>
        </row>
        <row r="118">
          <cell r="A118"/>
          <cell r="B118"/>
          <cell r="C118"/>
          <cell r="D118"/>
        </row>
        <row r="119">
          <cell r="A119"/>
          <cell r="B119"/>
          <cell r="C119"/>
          <cell r="D119"/>
        </row>
        <row r="120">
          <cell r="A120"/>
          <cell r="B120"/>
          <cell r="C120"/>
          <cell r="D120"/>
        </row>
        <row r="121">
          <cell r="A121"/>
          <cell r="B121"/>
          <cell r="C121"/>
          <cell r="D121"/>
        </row>
        <row r="122">
          <cell r="A122"/>
          <cell r="B122"/>
          <cell r="C122"/>
          <cell r="D122"/>
        </row>
        <row r="123">
          <cell r="A123"/>
          <cell r="B123"/>
          <cell r="C123"/>
          <cell r="D123"/>
        </row>
        <row r="124">
          <cell r="A124"/>
          <cell r="B124"/>
          <cell r="C124"/>
          <cell r="D124"/>
        </row>
        <row r="125">
          <cell r="A125"/>
          <cell r="B125"/>
          <cell r="C125"/>
          <cell r="D125"/>
        </row>
        <row r="126">
          <cell r="A126"/>
          <cell r="B126"/>
          <cell r="C126"/>
          <cell r="D126"/>
        </row>
        <row r="127">
          <cell r="A127"/>
          <cell r="B127"/>
          <cell r="C127"/>
          <cell r="D127"/>
        </row>
        <row r="128">
          <cell r="A128"/>
          <cell r="B128"/>
          <cell r="C128"/>
          <cell r="D128"/>
        </row>
        <row r="129">
          <cell r="A129"/>
          <cell r="B129"/>
          <cell r="C129"/>
          <cell r="D129"/>
        </row>
        <row r="130">
          <cell r="A130"/>
          <cell r="B130"/>
          <cell r="C130"/>
          <cell r="D130"/>
        </row>
        <row r="131">
          <cell r="A131"/>
          <cell r="B131"/>
          <cell r="C131"/>
          <cell r="D131"/>
        </row>
        <row r="132">
          <cell r="A132"/>
          <cell r="B132"/>
          <cell r="C132"/>
          <cell r="D132"/>
        </row>
        <row r="133">
          <cell r="A133"/>
          <cell r="B133"/>
          <cell r="C133"/>
          <cell r="D133"/>
        </row>
        <row r="134">
          <cell r="A134"/>
          <cell r="B134"/>
          <cell r="C134"/>
          <cell r="D134"/>
        </row>
        <row r="135">
          <cell r="A135"/>
          <cell r="B135"/>
          <cell r="C135"/>
          <cell r="D135"/>
        </row>
        <row r="136">
          <cell r="A136"/>
          <cell r="B136"/>
          <cell r="C136"/>
          <cell r="D136"/>
        </row>
        <row r="137">
          <cell r="A137"/>
          <cell r="B137"/>
          <cell r="C137"/>
          <cell r="D137"/>
        </row>
        <row r="138">
          <cell r="A138"/>
          <cell r="B138"/>
          <cell r="C138"/>
          <cell r="D138"/>
        </row>
        <row r="139">
          <cell r="A139"/>
          <cell r="B139"/>
          <cell r="C139"/>
          <cell r="D139"/>
        </row>
        <row r="140">
          <cell r="A140"/>
          <cell r="B140"/>
          <cell r="C140"/>
          <cell r="D140"/>
        </row>
        <row r="141">
          <cell r="A141"/>
          <cell r="B141"/>
          <cell r="C141"/>
          <cell r="D141"/>
        </row>
        <row r="142">
          <cell r="A142"/>
          <cell r="B142"/>
          <cell r="C142"/>
          <cell r="D142"/>
        </row>
        <row r="143">
          <cell r="A143"/>
          <cell r="B143"/>
          <cell r="C143"/>
          <cell r="D143"/>
        </row>
        <row r="144">
          <cell r="A144"/>
          <cell r="B144"/>
          <cell r="C144"/>
          <cell r="D144"/>
        </row>
        <row r="145">
          <cell r="A145"/>
          <cell r="B145"/>
          <cell r="C145"/>
          <cell r="D145"/>
        </row>
        <row r="146">
          <cell r="A146"/>
          <cell r="B146"/>
          <cell r="C146"/>
          <cell r="D146"/>
        </row>
        <row r="147">
          <cell r="A147"/>
          <cell r="B147"/>
          <cell r="C147"/>
          <cell r="D147"/>
        </row>
        <row r="148">
          <cell r="A148"/>
          <cell r="B148"/>
          <cell r="C148"/>
          <cell r="D148"/>
        </row>
        <row r="149">
          <cell r="A149"/>
          <cell r="B149"/>
          <cell r="C149"/>
          <cell r="D149"/>
        </row>
        <row r="150">
          <cell r="A150"/>
          <cell r="B150"/>
          <cell r="C150"/>
          <cell r="D150"/>
        </row>
        <row r="151">
          <cell r="A151"/>
          <cell r="B151"/>
          <cell r="C151"/>
          <cell r="D151"/>
        </row>
        <row r="152">
          <cell r="A152"/>
          <cell r="B152"/>
          <cell r="C152"/>
          <cell r="D152"/>
        </row>
        <row r="153">
          <cell r="A153"/>
          <cell r="B153"/>
          <cell r="C153"/>
          <cell r="D153"/>
        </row>
        <row r="154">
          <cell r="A154"/>
          <cell r="B154"/>
          <cell r="C154"/>
          <cell r="D154"/>
        </row>
        <row r="155">
          <cell r="A155"/>
          <cell r="B155"/>
          <cell r="C155"/>
          <cell r="D155"/>
        </row>
        <row r="156">
          <cell r="A156"/>
          <cell r="B156"/>
          <cell r="C156"/>
          <cell r="D156"/>
        </row>
        <row r="157">
          <cell r="A157"/>
          <cell r="B157"/>
          <cell r="C157"/>
          <cell r="D157"/>
        </row>
        <row r="158">
          <cell r="A158"/>
          <cell r="B158"/>
          <cell r="C158"/>
          <cell r="D158"/>
        </row>
        <row r="159">
          <cell r="A159"/>
          <cell r="B159"/>
          <cell r="C159"/>
          <cell r="D159"/>
        </row>
        <row r="160">
          <cell r="A160"/>
          <cell r="B160"/>
          <cell r="C160"/>
          <cell r="D160"/>
        </row>
        <row r="161">
          <cell r="A161"/>
          <cell r="B161"/>
          <cell r="C161"/>
          <cell r="D161"/>
        </row>
        <row r="162">
          <cell r="A162"/>
          <cell r="B162"/>
          <cell r="C162"/>
          <cell r="D162"/>
        </row>
        <row r="163">
          <cell r="A163"/>
          <cell r="B163"/>
          <cell r="C163"/>
          <cell r="D163"/>
        </row>
        <row r="164">
          <cell r="A164"/>
          <cell r="B164"/>
          <cell r="C164"/>
          <cell r="D164"/>
        </row>
        <row r="165">
          <cell r="A165"/>
          <cell r="B165"/>
          <cell r="C165"/>
          <cell r="D165"/>
        </row>
        <row r="166">
          <cell r="A166"/>
          <cell r="B166"/>
          <cell r="C166"/>
          <cell r="D166"/>
        </row>
        <row r="167">
          <cell r="A167"/>
          <cell r="B167"/>
          <cell r="C167"/>
          <cell r="D167"/>
        </row>
        <row r="168">
          <cell r="A168"/>
          <cell r="B168"/>
          <cell r="C168"/>
          <cell r="D168"/>
        </row>
        <row r="169">
          <cell r="A169"/>
          <cell r="B169"/>
          <cell r="C169"/>
          <cell r="D169"/>
        </row>
        <row r="170">
          <cell r="A170"/>
          <cell r="B170"/>
          <cell r="C170"/>
          <cell r="D170"/>
        </row>
        <row r="171">
          <cell r="A171"/>
          <cell r="B171"/>
          <cell r="C171"/>
          <cell r="D171"/>
        </row>
        <row r="172">
          <cell r="A172"/>
          <cell r="B172"/>
          <cell r="C172"/>
          <cell r="D172"/>
        </row>
        <row r="173">
          <cell r="A173"/>
          <cell r="B173"/>
          <cell r="C173"/>
          <cell r="D173"/>
        </row>
        <row r="174">
          <cell r="A174"/>
          <cell r="B174"/>
          <cell r="C174"/>
          <cell r="D174"/>
        </row>
        <row r="175">
          <cell r="A175"/>
          <cell r="B175"/>
          <cell r="C175"/>
          <cell r="D175"/>
        </row>
        <row r="176">
          <cell r="A176"/>
          <cell r="B176"/>
          <cell r="C176"/>
          <cell r="D176"/>
        </row>
        <row r="177">
          <cell r="A177"/>
          <cell r="B177"/>
          <cell r="C177"/>
          <cell r="D177"/>
        </row>
        <row r="178">
          <cell r="A178"/>
          <cell r="B178"/>
          <cell r="C178"/>
          <cell r="D178"/>
        </row>
        <row r="179">
          <cell r="A179"/>
          <cell r="B179"/>
          <cell r="C179"/>
          <cell r="D179"/>
        </row>
        <row r="180">
          <cell r="A180"/>
          <cell r="B180"/>
          <cell r="C180"/>
          <cell r="D180"/>
        </row>
        <row r="181">
          <cell r="A181"/>
          <cell r="B181"/>
          <cell r="C181"/>
          <cell r="D181"/>
        </row>
        <row r="182">
          <cell r="A182"/>
          <cell r="B182"/>
          <cell r="C182"/>
          <cell r="D182"/>
        </row>
        <row r="183">
          <cell r="A183"/>
          <cell r="B183"/>
          <cell r="C183"/>
          <cell r="D183"/>
        </row>
        <row r="184">
          <cell r="A184"/>
          <cell r="B184"/>
          <cell r="C184"/>
          <cell r="D184"/>
        </row>
        <row r="185">
          <cell r="A185"/>
          <cell r="B185"/>
          <cell r="C185"/>
          <cell r="D185"/>
        </row>
        <row r="186">
          <cell r="A186"/>
          <cell r="B186"/>
          <cell r="C186"/>
          <cell r="D186"/>
        </row>
        <row r="187">
          <cell r="A187"/>
          <cell r="B187"/>
          <cell r="C187"/>
          <cell r="D187"/>
        </row>
        <row r="188">
          <cell r="A188"/>
          <cell r="B188"/>
          <cell r="C188"/>
          <cell r="D188"/>
        </row>
        <row r="189">
          <cell r="A189"/>
          <cell r="B189"/>
          <cell r="C189"/>
          <cell r="D189"/>
        </row>
        <row r="190">
          <cell r="A190"/>
          <cell r="B190"/>
          <cell r="C190"/>
          <cell r="D190"/>
        </row>
        <row r="191">
          <cell r="A191"/>
          <cell r="B191"/>
          <cell r="C191"/>
          <cell r="D191"/>
        </row>
        <row r="192">
          <cell r="A192"/>
          <cell r="B192"/>
          <cell r="C192"/>
          <cell r="D192"/>
        </row>
        <row r="193">
          <cell r="A193"/>
          <cell r="B193"/>
          <cell r="C193"/>
          <cell r="D193"/>
        </row>
        <row r="194">
          <cell r="A194"/>
          <cell r="B194"/>
          <cell r="C194"/>
          <cell r="D194"/>
        </row>
        <row r="195">
          <cell r="A195"/>
          <cell r="B195"/>
          <cell r="C195"/>
          <cell r="D195"/>
        </row>
        <row r="196">
          <cell r="A196"/>
          <cell r="B196"/>
          <cell r="C196"/>
          <cell r="D196"/>
        </row>
        <row r="197">
          <cell r="A197"/>
          <cell r="B197"/>
          <cell r="C197"/>
          <cell r="D197"/>
        </row>
        <row r="198">
          <cell r="A198"/>
          <cell r="B198"/>
          <cell r="C198"/>
          <cell r="D198"/>
        </row>
        <row r="199">
          <cell r="A199"/>
          <cell r="B199"/>
          <cell r="C199"/>
          <cell r="D199"/>
        </row>
        <row r="200">
          <cell r="A200"/>
          <cell r="B200"/>
          <cell r="C200"/>
          <cell r="D200"/>
        </row>
        <row r="201">
          <cell r="A201"/>
          <cell r="B201"/>
          <cell r="C201"/>
          <cell r="D201"/>
        </row>
        <row r="202">
          <cell r="A202"/>
          <cell r="B202"/>
          <cell r="C202"/>
          <cell r="D202"/>
        </row>
        <row r="203">
          <cell r="A203"/>
          <cell r="B203"/>
          <cell r="C203"/>
          <cell r="D203"/>
        </row>
        <row r="204">
          <cell r="A204"/>
          <cell r="B204"/>
          <cell r="C204"/>
          <cell r="D204"/>
        </row>
        <row r="205">
          <cell r="A205"/>
          <cell r="B205"/>
          <cell r="C205"/>
          <cell r="D205"/>
        </row>
        <row r="206">
          <cell r="A206"/>
          <cell r="B206"/>
          <cell r="C206"/>
          <cell r="D206"/>
        </row>
        <row r="207">
          <cell r="A207"/>
          <cell r="B207"/>
          <cell r="C207"/>
          <cell r="D207"/>
        </row>
        <row r="208">
          <cell r="A208"/>
          <cell r="B208"/>
          <cell r="C208"/>
          <cell r="D208"/>
        </row>
        <row r="209">
          <cell r="A209"/>
          <cell r="B209"/>
          <cell r="C209"/>
          <cell r="D209"/>
        </row>
        <row r="210">
          <cell r="A210"/>
          <cell r="B210"/>
          <cell r="C210"/>
          <cell r="D210"/>
        </row>
        <row r="211">
          <cell r="A211"/>
          <cell r="B211"/>
          <cell r="C211"/>
          <cell r="D211"/>
        </row>
        <row r="212">
          <cell r="A212"/>
          <cell r="B212"/>
          <cell r="C212"/>
          <cell r="D212"/>
        </row>
        <row r="213">
          <cell r="A213"/>
          <cell r="B213"/>
          <cell r="C213"/>
          <cell r="D213"/>
        </row>
        <row r="214">
          <cell r="A214"/>
          <cell r="B214"/>
          <cell r="C214"/>
          <cell r="D214"/>
        </row>
        <row r="215">
          <cell r="A215"/>
          <cell r="B215"/>
          <cell r="C215"/>
          <cell r="D215"/>
        </row>
        <row r="216">
          <cell r="A216"/>
          <cell r="B216"/>
          <cell r="C216"/>
          <cell r="D216"/>
        </row>
        <row r="217">
          <cell r="A217"/>
          <cell r="B217"/>
          <cell r="C217"/>
          <cell r="D217"/>
        </row>
        <row r="218">
          <cell r="A218"/>
          <cell r="B218"/>
          <cell r="C218"/>
          <cell r="D218"/>
        </row>
        <row r="219">
          <cell r="A219"/>
          <cell r="B219"/>
          <cell r="C219"/>
          <cell r="D219"/>
        </row>
        <row r="220">
          <cell r="A220"/>
          <cell r="B220"/>
          <cell r="C220"/>
          <cell r="D220"/>
        </row>
        <row r="221">
          <cell r="A221"/>
          <cell r="B221"/>
          <cell r="C221"/>
          <cell r="D221"/>
        </row>
        <row r="222">
          <cell r="A222"/>
          <cell r="B222"/>
          <cell r="C222"/>
          <cell r="D222"/>
        </row>
        <row r="223">
          <cell r="A223"/>
          <cell r="B223"/>
          <cell r="C223"/>
          <cell r="D223"/>
        </row>
        <row r="224">
          <cell r="A224"/>
          <cell r="B224"/>
          <cell r="C224"/>
          <cell r="D224"/>
        </row>
        <row r="225">
          <cell r="A225"/>
          <cell r="B225"/>
          <cell r="C225"/>
          <cell r="D225"/>
        </row>
        <row r="226">
          <cell r="A226"/>
          <cell r="B226"/>
          <cell r="C226"/>
          <cell r="D226"/>
        </row>
        <row r="227">
          <cell r="A227"/>
          <cell r="B227"/>
          <cell r="C227"/>
          <cell r="D227"/>
        </row>
        <row r="228">
          <cell r="A228"/>
          <cell r="B228"/>
          <cell r="C228"/>
          <cell r="D228"/>
        </row>
        <row r="229">
          <cell r="A229"/>
          <cell r="B229"/>
          <cell r="C229"/>
          <cell r="D229"/>
        </row>
        <row r="230">
          <cell r="A230"/>
          <cell r="B230"/>
          <cell r="C230"/>
          <cell r="D230"/>
        </row>
        <row r="231">
          <cell r="A231"/>
          <cell r="B231"/>
          <cell r="C231"/>
          <cell r="D231"/>
        </row>
        <row r="232">
          <cell r="A232"/>
          <cell r="B232"/>
          <cell r="C232"/>
          <cell r="D232"/>
        </row>
        <row r="233">
          <cell r="A233"/>
          <cell r="B233"/>
          <cell r="C233"/>
          <cell r="D233"/>
        </row>
        <row r="234">
          <cell r="A234"/>
          <cell r="B234"/>
          <cell r="C234"/>
          <cell r="D234"/>
        </row>
        <row r="235">
          <cell r="A235"/>
          <cell r="B235"/>
          <cell r="C235"/>
          <cell r="D235"/>
        </row>
        <row r="236">
          <cell r="A236"/>
          <cell r="B236"/>
          <cell r="C236"/>
          <cell r="D236"/>
        </row>
        <row r="237">
          <cell r="A237"/>
          <cell r="B237"/>
          <cell r="C237"/>
          <cell r="D237"/>
        </row>
        <row r="238">
          <cell r="A238"/>
          <cell r="B238"/>
          <cell r="C238"/>
          <cell r="D238"/>
        </row>
        <row r="239">
          <cell r="A239"/>
          <cell r="B239"/>
          <cell r="C239"/>
          <cell r="D239"/>
        </row>
        <row r="240">
          <cell r="A240"/>
          <cell r="B240"/>
          <cell r="C240"/>
          <cell r="D240"/>
        </row>
        <row r="241">
          <cell r="A241"/>
          <cell r="B241"/>
          <cell r="C241"/>
          <cell r="D241"/>
        </row>
        <row r="242">
          <cell r="A242"/>
          <cell r="B242"/>
          <cell r="C242"/>
          <cell r="D242"/>
        </row>
        <row r="243">
          <cell r="A243"/>
          <cell r="B243"/>
          <cell r="C243"/>
          <cell r="D243"/>
        </row>
        <row r="244">
          <cell r="A244"/>
          <cell r="B244"/>
          <cell r="C244"/>
          <cell r="D244"/>
        </row>
        <row r="245">
          <cell r="A245"/>
          <cell r="B245"/>
          <cell r="C245"/>
          <cell r="D245"/>
        </row>
        <row r="246">
          <cell r="A246"/>
          <cell r="B246"/>
          <cell r="C246"/>
          <cell r="D246"/>
        </row>
        <row r="247">
          <cell r="A247"/>
          <cell r="B247"/>
          <cell r="C247"/>
          <cell r="D247"/>
        </row>
        <row r="248">
          <cell r="A248"/>
          <cell r="B248"/>
          <cell r="C248"/>
          <cell r="D248"/>
        </row>
        <row r="249">
          <cell r="A249"/>
          <cell r="B249"/>
          <cell r="C249"/>
          <cell r="D249"/>
        </row>
        <row r="250">
          <cell r="A250"/>
          <cell r="B250"/>
          <cell r="C250"/>
          <cell r="D250"/>
        </row>
        <row r="251">
          <cell r="A251"/>
          <cell r="B251"/>
          <cell r="C251"/>
          <cell r="D251"/>
        </row>
        <row r="252">
          <cell r="A252"/>
          <cell r="B252"/>
          <cell r="C252"/>
          <cell r="D252"/>
        </row>
        <row r="253">
          <cell r="A253"/>
          <cell r="B253"/>
          <cell r="C253"/>
          <cell r="D253"/>
        </row>
        <row r="254">
          <cell r="A254"/>
          <cell r="B254"/>
          <cell r="C254"/>
          <cell r="D254"/>
        </row>
        <row r="255">
          <cell r="A255"/>
          <cell r="B255"/>
          <cell r="C255"/>
          <cell r="D255"/>
        </row>
        <row r="256">
          <cell r="A256"/>
          <cell r="B256"/>
          <cell r="C256"/>
          <cell r="D256"/>
        </row>
        <row r="257">
          <cell r="A257"/>
          <cell r="B257"/>
          <cell r="C257"/>
          <cell r="D257"/>
        </row>
        <row r="258">
          <cell r="A258"/>
          <cell r="B258"/>
          <cell r="C258"/>
          <cell r="D258"/>
        </row>
        <row r="259">
          <cell r="A259"/>
          <cell r="B259"/>
          <cell r="C259"/>
          <cell r="D259"/>
        </row>
        <row r="260">
          <cell r="A260"/>
          <cell r="B260"/>
          <cell r="C260"/>
          <cell r="D260"/>
        </row>
        <row r="261">
          <cell r="A261"/>
          <cell r="B261"/>
          <cell r="C261"/>
          <cell r="D261"/>
        </row>
        <row r="262">
          <cell r="A262"/>
          <cell r="B262"/>
          <cell r="C262"/>
          <cell r="D262"/>
        </row>
        <row r="263">
          <cell r="A263"/>
          <cell r="B263"/>
          <cell r="C263"/>
          <cell r="D263"/>
        </row>
        <row r="264">
          <cell r="A264"/>
          <cell r="B264"/>
          <cell r="C264"/>
          <cell r="D264"/>
        </row>
        <row r="265">
          <cell r="A265"/>
          <cell r="B265"/>
          <cell r="C265"/>
          <cell r="D265"/>
        </row>
        <row r="266">
          <cell r="A266"/>
          <cell r="B266"/>
          <cell r="C266"/>
          <cell r="D266"/>
        </row>
        <row r="267">
          <cell r="A267"/>
          <cell r="B267"/>
          <cell r="C267"/>
          <cell r="D267"/>
        </row>
        <row r="268">
          <cell r="A268"/>
          <cell r="B268"/>
          <cell r="C268"/>
          <cell r="D268"/>
        </row>
        <row r="269">
          <cell r="A269"/>
          <cell r="B269"/>
          <cell r="C269"/>
          <cell r="D269"/>
        </row>
        <row r="270">
          <cell r="A270"/>
          <cell r="B270"/>
          <cell r="C270"/>
          <cell r="D270"/>
        </row>
        <row r="271">
          <cell r="A271"/>
          <cell r="B271"/>
          <cell r="C271"/>
          <cell r="D271"/>
        </row>
        <row r="272">
          <cell r="A272"/>
          <cell r="B272"/>
          <cell r="C272"/>
          <cell r="D272"/>
        </row>
        <row r="273">
          <cell r="A273"/>
          <cell r="B273"/>
          <cell r="C273"/>
          <cell r="D273"/>
        </row>
        <row r="274">
          <cell r="A274"/>
          <cell r="B274"/>
          <cell r="C274"/>
          <cell r="D274"/>
        </row>
        <row r="275">
          <cell r="A275"/>
          <cell r="B275"/>
          <cell r="C275"/>
          <cell r="D275"/>
        </row>
        <row r="276">
          <cell r="A276"/>
          <cell r="B276"/>
          <cell r="C276"/>
          <cell r="D276"/>
        </row>
        <row r="277">
          <cell r="A277"/>
          <cell r="B277"/>
          <cell r="C277"/>
          <cell r="D277"/>
        </row>
        <row r="278">
          <cell r="A278"/>
          <cell r="B278"/>
          <cell r="C278"/>
          <cell r="D278"/>
        </row>
        <row r="279">
          <cell r="A279"/>
          <cell r="B279"/>
          <cell r="C279"/>
          <cell r="D279"/>
        </row>
        <row r="280">
          <cell r="A280"/>
          <cell r="B280"/>
          <cell r="C280"/>
          <cell r="D280"/>
        </row>
        <row r="281">
          <cell r="A281"/>
          <cell r="B281"/>
          <cell r="C281"/>
          <cell r="D281"/>
        </row>
        <row r="282">
          <cell r="A282"/>
          <cell r="B282"/>
          <cell r="C282"/>
          <cell r="D282"/>
        </row>
        <row r="283">
          <cell r="A283"/>
          <cell r="B283"/>
          <cell r="C283"/>
          <cell r="D283"/>
        </row>
        <row r="284">
          <cell r="A284"/>
          <cell r="B284"/>
          <cell r="C284"/>
          <cell r="D284"/>
        </row>
        <row r="285">
          <cell r="A285"/>
          <cell r="B285"/>
          <cell r="C285"/>
          <cell r="D285"/>
        </row>
        <row r="286">
          <cell r="A286"/>
          <cell r="B286"/>
          <cell r="C286"/>
          <cell r="D286"/>
        </row>
        <row r="287">
          <cell r="A287"/>
          <cell r="B287"/>
          <cell r="C287"/>
          <cell r="D287"/>
        </row>
        <row r="288">
          <cell r="A288"/>
          <cell r="B288"/>
          <cell r="C288"/>
          <cell r="D288"/>
        </row>
        <row r="289">
          <cell r="A289"/>
          <cell r="B289"/>
          <cell r="C289"/>
          <cell r="D289"/>
        </row>
        <row r="290">
          <cell r="A290"/>
          <cell r="B290"/>
          <cell r="C290"/>
          <cell r="D290"/>
        </row>
        <row r="291">
          <cell r="A291"/>
          <cell r="B291"/>
          <cell r="C291"/>
          <cell r="D291"/>
        </row>
        <row r="292">
          <cell r="A292"/>
          <cell r="B292"/>
          <cell r="C292"/>
          <cell r="D292"/>
        </row>
        <row r="293">
          <cell r="A293"/>
          <cell r="B293"/>
          <cell r="C293"/>
          <cell r="D293"/>
        </row>
        <row r="294">
          <cell r="A294"/>
          <cell r="B294"/>
          <cell r="C294"/>
          <cell r="D294"/>
        </row>
        <row r="295">
          <cell r="A295"/>
          <cell r="B295"/>
          <cell r="C295"/>
          <cell r="D295"/>
        </row>
        <row r="296">
          <cell r="A296"/>
          <cell r="B296"/>
          <cell r="C296"/>
          <cell r="D296"/>
        </row>
        <row r="297">
          <cell r="A297"/>
          <cell r="B297"/>
          <cell r="C297"/>
          <cell r="D297"/>
        </row>
        <row r="298">
          <cell r="A298"/>
          <cell r="B298"/>
          <cell r="C298"/>
          <cell r="D298"/>
        </row>
        <row r="299">
          <cell r="A299"/>
          <cell r="B299"/>
          <cell r="C299"/>
          <cell r="D299"/>
        </row>
        <row r="300">
          <cell r="A300"/>
          <cell r="B300"/>
          <cell r="C300"/>
          <cell r="D300"/>
        </row>
        <row r="301">
          <cell r="A301"/>
          <cell r="B301"/>
          <cell r="C301"/>
          <cell r="D301"/>
        </row>
        <row r="302">
          <cell r="A302"/>
          <cell r="B302"/>
          <cell r="C302"/>
          <cell r="D302"/>
        </row>
        <row r="303">
          <cell r="A303"/>
          <cell r="B303"/>
          <cell r="C303"/>
          <cell r="D303"/>
        </row>
        <row r="304">
          <cell r="A304"/>
          <cell r="B304"/>
          <cell r="C304"/>
          <cell r="D304"/>
        </row>
        <row r="305">
          <cell r="A305"/>
          <cell r="B305"/>
          <cell r="C305"/>
          <cell r="D305"/>
        </row>
        <row r="306">
          <cell r="A306"/>
          <cell r="B306"/>
          <cell r="C306"/>
          <cell r="D306"/>
        </row>
        <row r="307">
          <cell r="A307"/>
          <cell r="B307"/>
          <cell r="C307"/>
          <cell r="D307"/>
        </row>
        <row r="308">
          <cell r="A308"/>
          <cell r="B308"/>
          <cell r="C308"/>
          <cell r="D308"/>
        </row>
        <row r="309">
          <cell r="A309"/>
          <cell r="B309"/>
          <cell r="C309"/>
          <cell r="D309"/>
        </row>
        <row r="310">
          <cell r="A310"/>
          <cell r="B310"/>
          <cell r="C310"/>
          <cell r="D310"/>
        </row>
        <row r="311">
          <cell r="A311"/>
          <cell r="B311"/>
          <cell r="C311"/>
          <cell r="D311"/>
        </row>
        <row r="312">
          <cell r="A312"/>
          <cell r="B312"/>
          <cell r="C312"/>
          <cell r="D312"/>
        </row>
        <row r="313">
          <cell r="A313"/>
          <cell r="B313"/>
          <cell r="C313"/>
          <cell r="D313"/>
        </row>
        <row r="314">
          <cell r="A314"/>
          <cell r="B314"/>
          <cell r="C314"/>
          <cell r="D314"/>
        </row>
        <row r="315">
          <cell r="A315"/>
          <cell r="B315"/>
          <cell r="C315"/>
          <cell r="D315"/>
        </row>
        <row r="316">
          <cell r="A316"/>
          <cell r="B316"/>
          <cell r="C316"/>
          <cell r="D316"/>
        </row>
        <row r="317">
          <cell r="A317"/>
          <cell r="B317"/>
          <cell r="C317"/>
          <cell r="D317"/>
        </row>
        <row r="318">
          <cell r="A318"/>
          <cell r="B318"/>
          <cell r="C318"/>
          <cell r="D318"/>
        </row>
        <row r="319">
          <cell r="A319"/>
          <cell r="B319"/>
          <cell r="C319"/>
          <cell r="D319"/>
        </row>
        <row r="320">
          <cell r="A320"/>
          <cell r="B320"/>
          <cell r="C320"/>
          <cell r="D320"/>
        </row>
        <row r="321">
          <cell r="A321"/>
          <cell r="B321"/>
          <cell r="C321"/>
          <cell r="D321"/>
        </row>
        <row r="322">
          <cell r="A322"/>
          <cell r="B322"/>
          <cell r="C322"/>
          <cell r="D322"/>
        </row>
        <row r="323">
          <cell r="A323"/>
          <cell r="B323"/>
          <cell r="C323"/>
          <cell r="D323"/>
        </row>
        <row r="324">
          <cell r="A324"/>
          <cell r="B324"/>
          <cell r="C324"/>
          <cell r="D324"/>
        </row>
        <row r="325">
          <cell r="A325"/>
          <cell r="B325"/>
          <cell r="C325"/>
          <cell r="D325"/>
        </row>
        <row r="326">
          <cell r="A326"/>
          <cell r="B326"/>
          <cell r="C326"/>
          <cell r="D326"/>
        </row>
        <row r="327">
          <cell r="A327"/>
          <cell r="B327"/>
          <cell r="C327"/>
          <cell r="D327"/>
        </row>
        <row r="328">
          <cell r="A328"/>
          <cell r="B328"/>
          <cell r="C328"/>
          <cell r="D328"/>
        </row>
        <row r="329">
          <cell r="A329"/>
          <cell r="B329"/>
          <cell r="C329"/>
          <cell r="D329"/>
        </row>
        <row r="330">
          <cell r="A330"/>
          <cell r="B330"/>
          <cell r="C330"/>
          <cell r="D330"/>
        </row>
        <row r="331">
          <cell r="A331"/>
          <cell r="B331"/>
          <cell r="C331"/>
          <cell r="D331"/>
        </row>
        <row r="332">
          <cell r="A332"/>
          <cell r="B332"/>
          <cell r="C332"/>
          <cell r="D332"/>
        </row>
        <row r="333">
          <cell r="A333"/>
          <cell r="B333"/>
          <cell r="C333"/>
          <cell r="D333"/>
        </row>
        <row r="334">
          <cell r="A334"/>
          <cell r="B334"/>
          <cell r="C334"/>
          <cell r="D334"/>
        </row>
        <row r="335">
          <cell r="A335"/>
          <cell r="B335"/>
          <cell r="C335"/>
          <cell r="D335"/>
        </row>
        <row r="336">
          <cell r="A336"/>
          <cell r="B336"/>
          <cell r="C336"/>
          <cell r="D336"/>
        </row>
        <row r="337">
          <cell r="A337"/>
          <cell r="B337"/>
          <cell r="C337"/>
          <cell r="D337"/>
        </row>
        <row r="338">
          <cell r="A338"/>
          <cell r="B338"/>
          <cell r="C338"/>
          <cell r="D338"/>
        </row>
        <row r="339">
          <cell r="A339"/>
          <cell r="B339"/>
          <cell r="C339"/>
          <cell r="D339"/>
        </row>
        <row r="340">
          <cell r="A340"/>
          <cell r="B340"/>
          <cell r="C340"/>
          <cell r="D340"/>
        </row>
        <row r="341">
          <cell r="A341"/>
          <cell r="B341"/>
          <cell r="C341"/>
          <cell r="D341"/>
        </row>
        <row r="342">
          <cell r="A342"/>
          <cell r="B342"/>
          <cell r="C342"/>
          <cell r="D342"/>
        </row>
        <row r="343">
          <cell r="A343"/>
          <cell r="B343"/>
          <cell r="C343"/>
          <cell r="D343"/>
        </row>
        <row r="344">
          <cell r="A344"/>
          <cell r="B344"/>
          <cell r="C344"/>
          <cell r="D344"/>
        </row>
        <row r="345">
          <cell r="A345"/>
          <cell r="B345"/>
          <cell r="C345"/>
          <cell r="D345"/>
        </row>
        <row r="346">
          <cell r="A346"/>
          <cell r="B346"/>
          <cell r="C346"/>
          <cell r="D346"/>
        </row>
        <row r="347">
          <cell r="A347"/>
          <cell r="B347"/>
          <cell r="C347"/>
          <cell r="D347"/>
        </row>
        <row r="348">
          <cell r="A348"/>
          <cell r="B348"/>
          <cell r="C348"/>
          <cell r="D348"/>
        </row>
        <row r="349">
          <cell r="A349"/>
          <cell r="B349"/>
          <cell r="C349"/>
          <cell r="D349"/>
        </row>
        <row r="350">
          <cell r="A350"/>
          <cell r="B350"/>
          <cell r="C350"/>
          <cell r="D350"/>
        </row>
        <row r="351">
          <cell r="A351"/>
          <cell r="B351"/>
          <cell r="C351"/>
          <cell r="D351"/>
        </row>
        <row r="352">
          <cell r="A352"/>
          <cell r="B352"/>
          <cell r="C352"/>
          <cell r="D352"/>
        </row>
        <row r="353">
          <cell r="A353"/>
          <cell r="B353"/>
          <cell r="C353"/>
          <cell r="D353"/>
        </row>
        <row r="354">
          <cell r="A354"/>
          <cell r="B354"/>
          <cell r="C354"/>
          <cell r="D354"/>
        </row>
        <row r="355">
          <cell r="A355"/>
          <cell r="B355"/>
          <cell r="C355"/>
          <cell r="D355"/>
        </row>
        <row r="356">
          <cell r="A356"/>
          <cell r="B356"/>
          <cell r="C356"/>
          <cell r="D356"/>
        </row>
        <row r="357">
          <cell r="A357"/>
          <cell r="B357"/>
          <cell r="C357"/>
          <cell r="D357"/>
        </row>
        <row r="358">
          <cell r="A358"/>
          <cell r="B358"/>
          <cell r="C358"/>
          <cell r="D358"/>
        </row>
        <row r="359">
          <cell r="A359"/>
          <cell r="B359"/>
          <cell r="C359"/>
          <cell r="D359"/>
        </row>
        <row r="360">
          <cell r="A360"/>
          <cell r="B360"/>
          <cell r="C360"/>
          <cell r="D360"/>
        </row>
        <row r="361">
          <cell r="A361"/>
          <cell r="B361"/>
          <cell r="C361"/>
          <cell r="D361"/>
        </row>
        <row r="362">
          <cell r="A362"/>
          <cell r="B362"/>
          <cell r="C362"/>
          <cell r="D362"/>
        </row>
        <row r="363">
          <cell r="A363"/>
          <cell r="B363"/>
          <cell r="C363"/>
          <cell r="D363"/>
        </row>
        <row r="364">
          <cell r="A364"/>
          <cell r="B364"/>
          <cell r="C364"/>
          <cell r="D364"/>
        </row>
        <row r="365">
          <cell r="A365"/>
          <cell r="B365"/>
          <cell r="C365"/>
          <cell r="D365"/>
        </row>
        <row r="366">
          <cell r="A366"/>
          <cell r="B366"/>
          <cell r="C366"/>
          <cell r="D366"/>
        </row>
        <row r="367">
          <cell r="A367"/>
          <cell r="B367"/>
          <cell r="C367"/>
          <cell r="D367"/>
        </row>
        <row r="368">
          <cell r="A368"/>
          <cell r="B368"/>
          <cell r="C368"/>
          <cell r="D368"/>
        </row>
        <row r="369">
          <cell r="A369"/>
          <cell r="B369"/>
          <cell r="C369"/>
          <cell r="D369"/>
        </row>
        <row r="370">
          <cell r="A370"/>
          <cell r="B370"/>
          <cell r="C370"/>
          <cell r="D370"/>
        </row>
        <row r="371">
          <cell r="A371"/>
          <cell r="B371"/>
          <cell r="C371"/>
          <cell r="D371"/>
        </row>
        <row r="372">
          <cell r="A372"/>
          <cell r="B372"/>
          <cell r="C372"/>
          <cell r="D372"/>
        </row>
        <row r="373">
          <cell r="A373"/>
          <cell r="B373"/>
          <cell r="C373"/>
          <cell r="D373"/>
        </row>
        <row r="374">
          <cell r="A374"/>
          <cell r="B374"/>
          <cell r="C374"/>
          <cell r="D374"/>
        </row>
        <row r="375">
          <cell r="A375"/>
          <cell r="B375"/>
          <cell r="C375"/>
          <cell r="D375"/>
        </row>
        <row r="376">
          <cell r="A376"/>
          <cell r="B376"/>
          <cell r="C376"/>
          <cell r="D376"/>
        </row>
        <row r="377">
          <cell r="A377"/>
          <cell r="B377"/>
          <cell r="C377"/>
          <cell r="D377"/>
        </row>
        <row r="378">
          <cell r="A378"/>
          <cell r="B378"/>
          <cell r="C378"/>
          <cell r="D378"/>
        </row>
        <row r="379">
          <cell r="A379"/>
          <cell r="B379"/>
          <cell r="C379"/>
          <cell r="D379"/>
        </row>
        <row r="380">
          <cell r="A380"/>
          <cell r="B380"/>
          <cell r="C380"/>
          <cell r="D380"/>
        </row>
        <row r="381">
          <cell r="A381"/>
          <cell r="B381"/>
          <cell r="C381"/>
          <cell r="D381"/>
        </row>
        <row r="382">
          <cell r="A382"/>
          <cell r="B382"/>
          <cell r="C382"/>
          <cell r="D382"/>
        </row>
        <row r="383">
          <cell r="A383"/>
          <cell r="B383"/>
          <cell r="C383"/>
          <cell r="D383"/>
        </row>
        <row r="384">
          <cell r="A384"/>
          <cell r="B384"/>
          <cell r="C384"/>
          <cell r="D384"/>
        </row>
        <row r="385">
          <cell r="A385"/>
          <cell r="B385"/>
          <cell r="C385"/>
          <cell r="D385"/>
        </row>
        <row r="386">
          <cell r="A386"/>
          <cell r="B386"/>
          <cell r="C386"/>
          <cell r="D386"/>
        </row>
        <row r="387">
          <cell r="A387"/>
          <cell r="B387"/>
          <cell r="C387"/>
          <cell r="D387"/>
        </row>
        <row r="388">
          <cell r="A388"/>
          <cell r="B388"/>
          <cell r="C388"/>
          <cell r="D388"/>
        </row>
        <row r="389">
          <cell r="A389"/>
          <cell r="B389"/>
          <cell r="C389"/>
          <cell r="D389"/>
        </row>
        <row r="390">
          <cell r="A390"/>
          <cell r="B390"/>
          <cell r="C390"/>
          <cell r="D390"/>
        </row>
        <row r="391">
          <cell r="A391"/>
          <cell r="B391"/>
          <cell r="C391"/>
          <cell r="D391"/>
        </row>
        <row r="392">
          <cell r="A392"/>
          <cell r="B392"/>
          <cell r="C392"/>
          <cell r="D392"/>
        </row>
        <row r="393">
          <cell r="A393"/>
          <cell r="B393"/>
          <cell r="C393"/>
          <cell r="D393"/>
        </row>
        <row r="394">
          <cell r="A394"/>
          <cell r="B394"/>
          <cell r="C394"/>
          <cell r="D394"/>
        </row>
        <row r="395">
          <cell r="A395"/>
          <cell r="B395"/>
          <cell r="C395"/>
          <cell r="D395"/>
        </row>
        <row r="396">
          <cell r="A396"/>
          <cell r="B396"/>
          <cell r="C396"/>
          <cell r="D396"/>
        </row>
        <row r="397">
          <cell r="A397"/>
          <cell r="B397"/>
          <cell r="C397"/>
          <cell r="D397"/>
        </row>
        <row r="398">
          <cell r="A398"/>
          <cell r="B398"/>
          <cell r="C398"/>
          <cell r="D398"/>
        </row>
        <row r="399">
          <cell r="A399"/>
          <cell r="B399"/>
          <cell r="C399"/>
          <cell r="D399"/>
        </row>
        <row r="400">
          <cell r="A400"/>
          <cell r="B400"/>
          <cell r="C400"/>
          <cell r="D400"/>
        </row>
        <row r="401">
          <cell r="A401"/>
          <cell r="B401"/>
          <cell r="C401"/>
          <cell r="D401"/>
        </row>
        <row r="402">
          <cell r="A402"/>
          <cell r="B402"/>
          <cell r="C402"/>
          <cell r="D402"/>
        </row>
        <row r="403">
          <cell r="A403"/>
          <cell r="B403"/>
          <cell r="C403"/>
          <cell r="D403"/>
        </row>
        <row r="404">
          <cell r="A404"/>
          <cell r="B404"/>
          <cell r="C404"/>
          <cell r="D404"/>
        </row>
        <row r="405">
          <cell r="A405"/>
          <cell r="B405"/>
          <cell r="C405"/>
          <cell r="D405"/>
        </row>
        <row r="406">
          <cell r="A406"/>
          <cell r="B406"/>
          <cell r="C406"/>
          <cell r="D406"/>
        </row>
        <row r="407">
          <cell r="A407"/>
          <cell r="B407"/>
          <cell r="C407"/>
          <cell r="D407"/>
        </row>
        <row r="408">
          <cell r="A408"/>
          <cell r="B408"/>
          <cell r="C408"/>
          <cell r="D408"/>
        </row>
        <row r="409">
          <cell r="A409"/>
          <cell r="B409"/>
          <cell r="C409"/>
          <cell r="D409"/>
        </row>
        <row r="410">
          <cell r="A410"/>
          <cell r="B410"/>
          <cell r="C410"/>
          <cell r="D410"/>
        </row>
        <row r="411">
          <cell r="A411"/>
          <cell r="B411"/>
          <cell r="C411"/>
          <cell r="D411"/>
        </row>
        <row r="412">
          <cell r="A412"/>
          <cell r="B412"/>
          <cell r="C412"/>
          <cell r="D412"/>
        </row>
        <row r="413">
          <cell r="A413"/>
          <cell r="B413"/>
          <cell r="C413"/>
          <cell r="D413"/>
        </row>
        <row r="414">
          <cell r="A414"/>
          <cell r="B414"/>
          <cell r="C414"/>
          <cell r="D414"/>
        </row>
        <row r="415">
          <cell r="A415"/>
          <cell r="B415"/>
          <cell r="C415"/>
          <cell r="D415"/>
        </row>
        <row r="416">
          <cell r="A416"/>
          <cell r="B416"/>
          <cell r="C416"/>
          <cell r="D416"/>
        </row>
        <row r="417">
          <cell r="A417"/>
          <cell r="B417"/>
          <cell r="C417"/>
          <cell r="D417"/>
        </row>
        <row r="418">
          <cell r="A418"/>
          <cell r="B418"/>
          <cell r="C418"/>
          <cell r="D418"/>
        </row>
        <row r="419">
          <cell r="A419"/>
          <cell r="B419"/>
          <cell r="C419"/>
          <cell r="D419"/>
        </row>
        <row r="420">
          <cell r="A420"/>
          <cell r="B420"/>
          <cell r="C420"/>
          <cell r="D420"/>
        </row>
        <row r="421">
          <cell r="A421"/>
          <cell r="B421"/>
          <cell r="C421"/>
          <cell r="D421"/>
        </row>
        <row r="422">
          <cell r="A422"/>
          <cell r="B422"/>
          <cell r="C422"/>
          <cell r="D422"/>
        </row>
        <row r="423">
          <cell r="A423"/>
          <cell r="B423"/>
          <cell r="C423"/>
          <cell r="D423"/>
        </row>
        <row r="424">
          <cell r="A424"/>
          <cell r="B424"/>
          <cell r="C424"/>
          <cell r="D424"/>
        </row>
        <row r="425">
          <cell r="A425"/>
          <cell r="B425"/>
          <cell r="C425"/>
          <cell r="D425"/>
        </row>
        <row r="426">
          <cell r="A426"/>
          <cell r="B426"/>
          <cell r="C426"/>
          <cell r="D426"/>
        </row>
        <row r="427">
          <cell r="A427"/>
          <cell r="B427"/>
          <cell r="C427"/>
          <cell r="D427"/>
        </row>
        <row r="428">
          <cell r="A428"/>
          <cell r="B428"/>
          <cell r="C428"/>
          <cell r="D428"/>
        </row>
        <row r="429">
          <cell r="A429"/>
          <cell r="B429"/>
          <cell r="C429"/>
          <cell r="D429"/>
        </row>
        <row r="430">
          <cell r="A430"/>
          <cell r="B430"/>
          <cell r="C430"/>
          <cell r="D430"/>
        </row>
        <row r="431">
          <cell r="A431"/>
          <cell r="B431"/>
          <cell r="C431"/>
          <cell r="D431"/>
        </row>
        <row r="432">
          <cell r="A432"/>
          <cell r="B432"/>
          <cell r="C432"/>
          <cell r="D432"/>
        </row>
        <row r="433">
          <cell r="A433"/>
          <cell r="B433"/>
          <cell r="C433"/>
          <cell r="D433"/>
        </row>
        <row r="434">
          <cell r="A434"/>
          <cell r="B434"/>
          <cell r="C434"/>
          <cell r="D434"/>
        </row>
        <row r="435">
          <cell r="A435"/>
          <cell r="B435"/>
          <cell r="C435"/>
          <cell r="D435"/>
        </row>
        <row r="436">
          <cell r="A436"/>
          <cell r="B436"/>
          <cell r="C436"/>
          <cell r="D436"/>
        </row>
        <row r="437">
          <cell r="A437"/>
          <cell r="B437"/>
          <cell r="C437"/>
          <cell r="D437"/>
        </row>
        <row r="438">
          <cell r="A438"/>
          <cell r="B438"/>
          <cell r="C438"/>
          <cell r="D438"/>
        </row>
        <row r="439">
          <cell r="A439"/>
          <cell r="B439"/>
          <cell r="C439"/>
          <cell r="D439"/>
        </row>
        <row r="440">
          <cell r="A440"/>
          <cell r="B440"/>
          <cell r="C440"/>
          <cell r="D440"/>
        </row>
        <row r="441">
          <cell r="A441"/>
          <cell r="B441"/>
          <cell r="C441"/>
          <cell r="D441"/>
        </row>
        <row r="442">
          <cell r="A442"/>
          <cell r="B442"/>
          <cell r="C442"/>
          <cell r="D442"/>
        </row>
        <row r="443">
          <cell r="A443"/>
          <cell r="B443"/>
          <cell r="C443"/>
          <cell r="D443"/>
        </row>
        <row r="444">
          <cell r="A444"/>
          <cell r="B444"/>
          <cell r="C444"/>
          <cell r="D444"/>
        </row>
        <row r="445">
          <cell r="A445"/>
          <cell r="B445"/>
          <cell r="C445"/>
          <cell r="D445"/>
        </row>
        <row r="446">
          <cell r="A446"/>
          <cell r="B446"/>
          <cell r="C446"/>
          <cell r="D446"/>
        </row>
        <row r="447">
          <cell r="A447"/>
          <cell r="B447"/>
          <cell r="C447"/>
          <cell r="D447"/>
        </row>
        <row r="448">
          <cell r="A448"/>
          <cell r="B448"/>
          <cell r="C448"/>
          <cell r="D448"/>
        </row>
        <row r="449">
          <cell r="A449"/>
          <cell r="B449"/>
          <cell r="C449"/>
          <cell r="D449"/>
        </row>
        <row r="450">
          <cell r="A450"/>
          <cell r="B450"/>
          <cell r="C450"/>
          <cell r="D450"/>
        </row>
        <row r="451">
          <cell r="A451"/>
          <cell r="B451"/>
          <cell r="C451"/>
          <cell r="D451"/>
        </row>
        <row r="452">
          <cell r="A452"/>
          <cell r="B452"/>
          <cell r="C452"/>
          <cell r="D452"/>
        </row>
        <row r="453">
          <cell r="A453"/>
          <cell r="B453"/>
          <cell r="C453"/>
          <cell r="D453"/>
        </row>
        <row r="454">
          <cell r="A454"/>
          <cell r="B454"/>
          <cell r="C454"/>
          <cell r="D454"/>
        </row>
        <row r="455">
          <cell r="A455"/>
          <cell r="B455"/>
          <cell r="C455"/>
          <cell r="D455"/>
        </row>
        <row r="456">
          <cell r="A456"/>
          <cell r="B456"/>
          <cell r="C456"/>
          <cell r="D456"/>
        </row>
        <row r="457">
          <cell r="A457"/>
          <cell r="B457"/>
          <cell r="C457"/>
          <cell r="D457"/>
        </row>
        <row r="458">
          <cell r="A458"/>
          <cell r="B458"/>
          <cell r="C458"/>
          <cell r="D458"/>
        </row>
        <row r="459">
          <cell r="A459"/>
          <cell r="B459"/>
          <cell r="C459"/>
          <cell r="D459"/>
        </row>
        <row r="460">
          <cell r="A460"/>
          <cell r="B460"/>
          <cell r="C460"/>
          <cell r="D460"/>
        </row>
        <row r="461">
          <cell r="A461"/>
          <cell r="B461"/>
          <cell r="C461"/>
          <cell r="D461"/>
        </row>
        <row r="462">
          <cell r="A462"/>
          <cell r="B462"/>
          <cell r="C462"/>
          <cell r="D462"/>
        </row>
        <row r="463">
          <cell r="A463"/>
          <cell r="B463"/>
          <cell r="C463"/>
          <cell r="D463"/>
        </row>
        <row r="464">
          <cell r="A464"/>
          <cell r="B464"/>
          <cell r="C464"/>
          <cell r="D464"/>
        </row>
        <row r="465">
          <cell r="A465"/>
          <cell r="B465"/>
          <cell r="C465"/>
          <cell r="D465"/>
        </row>
        <row r="466">
          <cell r="A466"/>
          <cell r="B466"/>
          <cell r="C466"/>
          <cell r="D466"/>
        </row>
        <row r="467">
          <cell r="A467"/>
          <cell r="B467"/>
          <cell r="C467"/>
          <cell r="D467"/>
        </row>
        <row r="468">
          <cell r="A468"/>
          <cell r="B468"/>
          <cell r="C468"/>
          <cell r="D468"/>
        </row>
        <row r="469">
          <cell r="A469"/>
          <cell r="B469"/>
          <cell r="C469"/>
          <cell r="D469"/>
        </row>
        <row r="470">
          <cell r="A470"/>
          <cell r="B470"/>
          <cell r="C470"/>
          <cell r="D470"/>
        </row>
        <row r="471">
          <cell r="A471"/>
          <cell r="B471"/>
          <cell r="C471"/>
          <cell r="D471"/>
        </row>
        <row r="472">
          <cell r="A472"/>
          <cell r="B472"/>
          <cell r="C472"/>
          <cell r="D472"/>
        </row>
        <row r="473">
          <cell r="A473"/>
          <cell r="B473"/>
          <cell r="C473"/>
          <cell r="D473"/>
        </row>
        <row r="474">
          <cell r="A474"/>
          <cell r="B474"/>
          <cell r="C474"/>
          <cell r="D474"/>
        </row>
        <row r="475">
          <cell r="A475"/>
          <cell r="B475"/>
          <cell r="C475"/>
          <cell r="D475"/>
        </row>
        <row r="476">
          <cell r="A476"/>
          <cell r="B476"/>
          <cell r="C476"/>
          <cell r="D476"/>
        </row>
        <row r="477">
          <cell r="A477"/>
          <cell r="B477"/>
          <cell r="C477"/>
          <cell r="D477"/>
        </row>
        <row r="478">
          <cell r="A478"/>
          <cell r="B478"/>
          <cell r="C478"/>
          <cell r="D478"/>
        </row>
        <row r="479">
          <cell r="A479"/>
          <cell r="B479"/>
          <cell r="C479"/>
          <cell r="D479"/>
        </row>
        <row r="480">
          <cell r="A480"/>
          <cell r="B480"/>
          <cell r="C480"/>
          <cell r="D480"/>
        </row>
        <row r="481">
          <cell r="A481"/>
          <cell r="B481"/>
          <cell r="C481"/>
          <cell r="D481"/>
        </row>
        <row r="482">
          <cell r="A482"/>
          <cell r="B482"/>
          <cell r="C482"/>
          <cell r="D482"/>
        </row>
        <row r="483">
          <cell r="A483"/>
          <cell r="B483"/>
          <cell r="C483"/>
          <cell r="D483"/>
        </row>
        <row r="484">
          <cell r="A484"/>
          <cell r="B484"/>
          <cell r="C484"/>
          <cell r="D484"/>
        </row>
        <row r="485">
          <cell r="A485"/>
          <cell r="B485"/>
          <cell r="C485"/>
          <cell r="D485"/>
        </row>
        <row r="486">
          <cell r="A486"/>
          <cell r="B486"/>
          <cell r="C486"/>
          <cell r="D486"/>
        </row>
        <row r="487">
          <cell r="A487"/>
          <cell r="B487"/>
          <cell r="C487"/>
          <cell r="D487"/>
        </row>
        <row r="488">
          <cell r="A488"/>
          <cell r="B488"/>
          <cell r="C488"/>
          <cell r="D488"/>
        </row>
        <row r="489">
          <cell r="A489"/>
          <cell r="B489"/>
          <cell r="C489"/>
          <cell r="D489"/>
        </row>
        <row r="490">
          <cell r="A490"/>
          <cell r="B490"/>
          <cell r="C490"/>
          <cell r="D490"/>
        </row>
        <row r="491">
          <cell r="A491"/>
          <cell r="B491"/>
          <cell r="C491"/>
          <cell r="D491"/>
        </row>
        <row r="492">
          <cell r="A492"/>
          <cell r="B492"/>
          <cell r="C492"/>
          <cell r="D492"/>
        </row>
        <row r="493">
          <cell r="A493"/>
          <cell r="B493"/>
          <cell r="C493"/>
          <cell r="D493"/>
        </row>
        <row r="494">
          <cell r="A494"/>
          <cell r="B494"/>
          <cell r="C494"/>
          <cell r="D494"/>
        </row>
        <row r="495">
          <cell r="A495"/>
          <cell r="B495"/>
          <cell r="C495"/>
          <cell r="D495"/>
        </row>
        <row r="496">
          <cell r="A496"/>
          <cell r="B496"/>
          <cell r="C496"/>
          <cell r="D496"/>
        </row>
        <row r="497">
          <cell r="A497"/>
          <cell r="B497"/>
          <cell r="C497"/>
          <cell r="D497"/>
        </row>
        <row r="498">
          <cell r="A498"/>
          <cell r="B498"/>
          <cell r="C498"/>
          <cell r="D498"/>
        </row>
        <row r="499">
          <cell r="A499"/>
          <cell r="B499"/>
          <cell r="C499"/>
          <cell r="D499"/>
        </row>
        <row r="500">
          <cell r="A500"/>
          <cell r="B500"/>
          <cell r="C500"/>
          <cell r="D500"/>
        </row>
        <row r="501">
          <cell r="A501"/>
          <cell r="B501"/>
          <cell r="C501"/>
          <cell r="D501"/>
        </row>
        <row r="502">
          <cell r="A502"/>
          <cell r="B502"/>
          <cell r="C502"/>
          <cell r="D502"/>
        </row>
        <row r="503">
          <cell r="A503"/>
          <cell r="B503"/>
          <cell r="C503"/>
          <cell r="D503"/>
        </row>
        <row r="504">
          <cell r="A504"/>
          <cell r="B504"/>
          <cell r="C504"/>
          <cell r="D504"/>
        </row>
        <row r="505">
          <cell r="A505"/>
          <cell r="B505"/>
          <cell r="C505"/>
          <cell r="D505"/>
        </row>
        <row r="506">
          <cell r="A506"/>
          <cell r="B506"/>
          <cell r="C506"/>
          <cell r="D506"/>
        </row>
        <row r="507">
          <cell r="A507"/>
          <cell r="B507"/>
          <cell r="C507"/>
          <cell r="D507"/>
        </row>
        <row r="508">
          <cell r="A508"/>
          <cell r="B508"/>
          <cell r="C508"/>
          <cell r="D508"/>
        </row>
        <row r="509">
          <cell r="A509"/>
          <cell r="B509"/>
          <cell r="C509"/>
          <cell r="D509"/>
        </row>
        <row r="510">
          <cell r="A510"/>
          <cell r="B510"/>
          <cell r="C510"/>
          <cell r="D510"/>
        </row>
        <row r="511">
          <cell r="A511"/>
          <cell r="B511"/>
          <cell r="C511"/>
          <cell r="D511"/>
        </row>
        <row r="512">
          <cell r="A512"/>
          <cell r="B512"/>
          <cell r="C512"/>
          <cell r="D512"/>
        </row>
        <row r="513">
          <cell r="A513"/>
          <cell r="B513"/>
          <cell r="C513"/>
          <cell r="D513"/>
        </row>
        <row r="514">
          <cell r="A514"/>
          <cell r="B514"/>
          <cell r="C514"/>
          <cell r="D514"/>
        </row>
        <row r="515">
          <cell r="A515"/>
          <cell r="B515"/>
          <cell r="C515"/>
          <cell r="D515"/>
        </row>
        <row r="516">
          <cell r="A516"/>
          <cell r="B516"/>
          <cell r="C516"/>
          <cell r="D516"/>
        </row>
        <row r="517">
          <cell r="A517"/>
          <cell r="B517"/>
          <cell r="C517"/>
          <cell r="D517"/>
        </row>
        <row r="518">
          <cell r="A518"/>
          <cell r="B518"/>
          <cell r="C518"/>
          <cell r="D518"/>
        </row>
        <row r="519">
          <cell r="A519"/>
          <cell r="B519"/>
          <cell r="C519"/>
          <cell r="D519"/>
        </row>
        <row r="520">
          <cell r="A520"/>
          <cell r="B520"/>
          <cell r="C520"/>
          <cell r="D520"/>
        </row>
        <row r="521">
          <cell r="A521"/>
          <cell r="B521"/>
          <cell r="C521"/>
          <cell r="D521"/>
        </row>
        <row r="522">
          <cell r="A522"/>
          <cell r="B522"/>
          <cell r="C522"/>
          <cell r="D522"/>
        </row>
        <row r="523">
          <cell r="A523"/>
          <cell r="B523"/>
          <cell r="C523"/>
          <cell r="D523"/>
        </row>
        <row r="524">
          <cell r="A524"/>
          <cell r="B524"/>
          <cell r="C524"/>
          <cell r="D524"/>
        </row>
        <row r="525">
          <cell r="A525"/>
          <cell r="B525"/>
          <cell r="C525"/>
          <cell r="D525"/>
        </row>
        <row r="526">
          <cell r="A526"/>
          <cell r="B526"/>
          <cell r="C526"/>
          <cell r="D526"/>
        </row>
        <row r="527">
          <cell r="A527"/>
          <cell r="B527"/>
          <cell r="C527"/>
          <cell r="D527"/>
        </row>
        <row r="528">
          <cell r="A528"/>
          <cell r="B528"/>
          <cell r="C528"/>
          <cell r="D528"/>
        </row>
        <row r="529">
          <cell r="A529"/>
          <cell r="B529"/>
          <cell r="C529"/>
          <cell r="D529"/>
        </row>
        <row r="530">
          <cell r="A530"/>
          <cell r="B530"/>
          <cell r="C530"/>
          <cell r="D530"/>
        </row>
        <row r="531">
          <cell r="A531"/>
          <cell r="B531"/>
          <cell r="C531"/>
          <cell r="D531"/>
        </row>
        <row r="532">
          <cell r="A532"/>
          <cell r="B532"/>
          <cell r="C532"/>
          <cell r="D532"/>
        </row>
        <row r="533">
          <cell r="A533"/>
          <cell r="B533"/>
          <cell r="C533"/>
          <cell r="D533"/>
        </row>
        <row r="534">
          <cell r="A534"/>
          <cell r="B534"/>
          <cell r="C534"/>
          <cell r="D534"/>
        </row>
        <row r="535">
          <cell r="A535"/>
          <cell r="B535"/>
          <cell r="C535"/>
          <cell r="D535"/>
        </row>
        <row r="536">
          <cell r="A536"/>
          <cell r="B536"/>
          <cell r="C536"/>
          <cell r="D536"/>
        </row>
        <row r="537">
          <cell r="A537"/>
          <cell r="B537"/>
          <cell r="C537"/>
          <cell r="D537"/>
        </row>
        <row r="538">
          <cell r="A538"/>
          <cell r="B538"/>
          <cell r="C538"/>
          <cell r="D538"/>
        </row>
        <row r="539">
          <cell r="A539"/>
          <cell r="B539"/>
          <cell r="C539"/>
          <cell r="D539"/>
        </row>
        <row r="540">
          <cell r="A540"/>
          <cell r="B540"/>
          <cell r="C540"/>
          <cell r="D540"/>
        </row>
        <row r="541">
          <cell r="A541"/>
          <cell r="B541"/>
          <cell r="C541"/>
          <cell r="D541"/>
        </row>
        <row r="542">
          <cell r="A542"/>
          <cell r="B542"/>
          <cell r="C542"/>
          <cell r="D542"/>
        </row>
        <row r="543">
          <cell r="A543"/>
          <cell r="B543"/>
          <cell r="C543"/>
          <cell r="D543"/>
        </row>
        <row r="544">
          <cell r="A544"/>
          <cell r="B544"/>
          <cell r="C544"/>
          <cell r="D544"/>
        </row>
        <row r="545">
          <cell r="A545"/>
          <cell r="B545"/>
          <cell r="C545"/>
          <cell r="D545"/>
        </row>
        <row r="546">
          <cell r="A546"/>
          <cell r="B546"/>
          <cell r="C546"/>
          <cell r="D546"/>
        </row>
        <row r="547">
          <cell r="A547"/>
          <cell r="B547"/>
          <cell r="C547"/>
          <cell r="D547"/>
        </row>
        <row r="548">
          <cell r="A548"/>
          <cell r="B548"/>
          <cell r="C548"/>
          <cell r="D548"/>
        </row>
        <row r="549">
          <cell r="A549"/>
          <cell r="B549"/>
          <cell r="C549"/>
          <cell r="D549"/>
        </row>
        <row r="550">
          <cell r="A550"/>
          <cell r="B550"/>
          <cell r="C550"/>
          <cell r="D550"/>
        </row>
        <row r="551">
          <cell r="A551"/>
          <cell r="B551"/>
          <cell r="C551"/>
          <cell r="D551"/>
        </row>
        <row r="552">
          <cell r="A552"/>
          <cell r="B552"/>
          <cell r="C552"/>
          <cell r="D552"/>
        </row>
        <row r="553">
          <cell r="A553"/>
          <cell r="B553"/>
          <cell r="C553"/>
          <cell r="D553"/>
        </row>
        <row r="554">
          <cell r="A554"/>
          <cell r="B554"/>
          <cell r="C554"/>
          <cell r="D554"/>
        </row>
        <row r="555">
          <cell r="A555"/>
          <cell r="B555"/>
          <cell r="C555"/>
          <cell r="D555"/>
        </row>
        <row r="556">
          <cell r="A556"/>
          <cell r="B556"/>
          <cell r="C556"/>
          <cell r="D556"/>
        </row>
        <row r="557">
          <cell r="A557"/>
          <cell r="B557"/>
          <cell r="C557"/>
          <cell r="D557"/>
        </row>
        <row r="558">
          <cell r="A558"/>
          <cell r="B558"/>
          <cell r="C558"/>
          <cell r="D558"/>
        </row>
        <row r="559">
          <cell r="A559"/>
          <cell r="B559"/>
          <cell r="C559"/>
          <cell r="D559"/>
        </row>
        <row r="560">
          <cell r="A560"/>
          <cell r="B560"/>
          <cell r="C560"/>
          <cell r="D560"/>
        </row>
        <row r="561">
          <cell r="A561"/>
          <cell r="B561"/>
          <cell r="C561"/>
          <cell r="D561"/>
        </row>
        <row r="562">
          <cell r="A562"/>
          <cell r="B562"/>
          <cell r="C562"/>
          <cell r="D562"/>
        </row>
        <row r="563">
          <cell r="A563"/>
          <cell r="B563"/>
          <cell r="C563"/>
          <cell r="D563"/>
        </row>
        <row r="564">
          <cell r="A564"/>
          <cell r="B564"/>
          <cell r="C564"/>
          <cell r="D564"/>
        </row>
        <row r="565">
          <cell r="A565"/>
          <cell r="B565"/>
          <cell r="C565"/>
          <cell r="D565"/>
        </row>
        <row r="566">
          <cell r="A566"/>
          <cell r="B566"/>
          <cell r="C566"/>
          <cell r="D566"/>
        </row>
        <row r="567">
          <cell r="A567"/>
          <cell r="B567"/>
          <cell r="C567"/>
          <cell r="D567"/>
        </row>
        <row r="568">
          <cell r="A568"/>
          <cell r="B568"/>
          <cell r="C568"/>
          <cell r="D568"/>
        </row>
        <row r="569">
          <cell r="A569"/>
          <cell r="B569"/>
          <cell r="C569"/>
          <cell r="D569"/>
        </row>
        <row r="570">
          <cell r="A570"/>
          <cell r="B570"/>
          <cell r="C570"/>
          <cell r="D570"/>
        </row>
        <row r="571">
          <cell r="A571"/>
          <cell r="B571"/>
          <cell r="C571"/>
          <cell r="D571"/>
        </row>
        <row r="572">
          <cell r="A572"/>
          <cell r="B572"/>
          <cell r="C572"/>
          <cell r="D572"/>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spPr>
      <a:bodyPr vertOverflow="overflow" horzOverflow="overflow" rtlCol="0" anchor="t">
        <a:spAutoFit/>
      </a:bodyPr>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hyperlink" Target="im:sip:VipindasH@Tanfeeth.ae" TargetMode="External"/><Relationship Id="rId2" Type="http://schemas.openxmlformats.org/officeDocument/2006/relationships/hyperlink" Target="im:%3csip:VikramRA@EmiratesNBD.com%3e%3csip:VipindasH@Tanfeeth.ae%3e%3csip:SureshAC@Tanfeeth.ae%3e" TargetMode="External"/><Relationship Id="rId1" Type="http://schemas.openxmlformats.org/officeDocument/2006/relationships/hyperlink" Target="file:///\\wrccshjfs\MCU_RCCEBIL\CARDS\Employer%20Code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im:sip:SureshAC@Tanfeeth.a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Y2347"/>
  <sheetViews>
    <sheetView zoomScale="85" zoomScaleNormal="85" workbookViewId="0">
      <selection activeCell="D5" sqref="D5"/>
    </sheetView>
  </sheetViews>
  <sheetFormatPr defaultRowHeight="15" x14ac:dyDescent="0.25"/>
  <cols>
    <col min="1" max="1" width="10.42578125" style="51" customWidth="1"/>
    <col min="2" max="2" width="19.85546875" style="51" bestFit="1" customWidth="1"/>
    <col min="3" max="3" width="18.42578125" style="51" bestFit="1" customWidth="1"/>
    <col min="4" max="4" width="17.5703125" style="51" customWidth="1"/>
    <col min="5" max="5" width="20" style="51" bestFit="1" customWidth="1"/>
    <col min="6" max="13" width="9.140625" style="51"/>
    <col min="14" max="14" width="9.140625" style="112"/>
    <col min="15" max="15" width="9.140625" style="78"/>
    <col min="16" max="19" width="9.140625" style="113"/>
    <col min="25" max="25" width="18.28515625" customWidth="1"/>
  </cols>
  <sheetData>
    <row r="1" spans="1:25" ht="15.75" thickBot="1" x14ac:dyDescent="0.3">
      <c r="A1" s="69"/>
      <c r="B1" s="69"/>
      <c r="C1" s="69"/>
      <c r="D1" s="69"/>
      <c r="E1" s="69"/>
      <c r="F1" s="69"/>
      <c r="G1" s="69"/>
      <c r="H1" s="69"/>
      <c r="I1" s="69"/>
      <c r="J1" s="69"/>
      <c r="K1" s="69"/>
      <c r="L1" s="69"/>
      <c r="M1" s="69"/>
      <c r="N1" s="70"/>
      <c r="O1" s="71"/>
      <c r="P1" s="71"/>
      <c r="Q1" s="71"/>
      <c r="R1" s="72"/>
      <c r="S1" s="73"/>
    </row>
    <row r="2" spans="1:25" ht="15.75" thickBot="1" x14ac:dyDescent="0.3">
      <c r="A2" s="70"/>
      <c r="B2" s="71"/>
      <c r="C2" s="71"/>
      <c r="D2" s="71"/>
      <c r="E2" s="71"/>
      <c r="F2" s="71"/>
      <c r="G2" s="71"/>
      <c r="H2" s="71"/>
      <c r="I2" s="71"/>
      <c r="J2" s="71"/>
      <c r="K2" s="71"/>
      <c r="L2" s="71"/>
      <c r="M2" s="71"/>
      <c r="N2" s="74"/>
      <c r="O2" s="69"/>
      <c r="P2" s="69"/>
      <c r="Q2" s="69"/>
      <c r="R2" s="75"/>
      <c r="S2" s="73"/>
    </row>
    <row r="3" spans="1:25" ht="20.25" customHeight="1" thickBot="1" x14ac:dyDescent="0.3">
      <c r="A3" s="76"/>
      <c r="B3" s="197" t="s">
        <v>69</v>
      </c>
      <c r="C3" s="198"/>
      <c r="D3" s="199"/>
      <c r="E3" s="200"/>
      <c r="F3" s="191"/>
      <c r="G3" s="191"/>
      <c r="H3" s="191"/>
      <c r="I3" s="191"/>
      <c r="J3" s="191"/>
      <c r="K3" s="191"/>
      <c r="L3" s="192"/>
      <c r="M3" s="69"/>
      <c r="N3" s="77"/>
      <c r="P3" s="78"/>
      <c r="Q3" s="78"/>
      <c r="R3" s="78"/>
      <c r="S3" s="73"/>
      <c r="Y3" s="79">
        <v>43743.61509259259</v>
      </c>
    </row>
    <row r="4" spans="1:25" ht="20.25" customHeight="1" thickBot="1" x14ac:dyDescent="0.3">
      <c r="A4" s="76"/>
      <c r="B4" s="80" t="s">
        <v>70</v>
      </c>
      <c r="C4" s="80" t="s">
        <v>71</v>
      </c>
      <c r="D4" s="80" t="s">
        <v>72</v>
      </c>
      <c r="E4" s="201"/>
      <c r="F4" s="193"/>
      <c r="G4" s="193"/>
      <c r="H4" s="193"/>
      <c r="I4" s="193"/>
      <c r="J4" s="193"/>
      <c r="K4" s="193"/>
      <c r="L4" s="194"/>
      <c r="M4" s="69"/>
      <c r="N4" s="77"/>
      <c r="O4" s="51"/>
      <c r="P4"/>
      <c r="Q4"/>
      <c r="R4"/>
      <c r="S4"/>
    </row>
    <row r="5" spans="1:25" ht="21" customHeight="1" thickBot="1" x14ac:dyDescent="0.35">
      <c r="A5" s="76"/>
      <c r="B5" s="85"/>
      <c r="C5" s="50"/>
      <c r="D5" s="81"/>
      <c r="E5" s="202"/>
      <c r="F5" s="195"/>
      <c r="G5" s="195"/>
      <c r="H5" s="195"/>
      <c r="I5" s="195"/>
      <c r="J5" s="195"/>
      <c r="K5" s="195"/>
      <c r="L5" s="196"/>
      <c r="M5" s="69"/>
      <c r="N5" s="77"/>
      <c r="O5" s="51"/>
      <c r="P5"/>
      <c r="Q5"/>
      <c r="R5"/>
      <c r="S5"/>
    </row>
    <row r="6" spans="1:25" x14ac:dyDescent="0.25">
      <c r="A6" s="76"/>
      <c r="B6" s="69"/>
      <c r="C6" s="69"/>
      <c r="D6" s="69"/>
      <c r="E6" s="69"/>
      <c r="F6" s="69"/>
      <c r="G6" s="69"/>
      <c r="H6" s="69"/>
      <c r="I6" s="69"/>
      <c r="J6" s="69"/>
      <c r="K6" s="69"/>
      <c r="L6" s="69"/>
      <c r="M6" s="69"/>
      <c r="N6" s="77"/>
      <c r="O6" s="51"/>
      <c r="P6"/>
      <c r="Q6"/>
      <c r="R6"/>
      <c r="S6"/>
    </row>
    <row r="7" spans="1:25" x14ac:dyDescent="0.25">
      <c r="A7" s="76"/>
      <c r="B7" s="69"/>
      <c r="C7" s="69"/>
      <c r="D7" s="69"/>
      <c r="E7" s="69"/>
      <c r="F7" s="69"/>
      <c r="G7" s="69"/>
      <c r="H7" s="69"/>
      <c r="I7" s="69"/>
      <c r="J7" s="69"/>
      <c r="K7" s="69"/>
      <c r="L7" s="69"/>
      <c r="M7" s="69"/>
      <c r="N7" s="77"/>
      <c r="O7" s="51"/>
      <c r="P7"/>
      <c r="Q7"/>
      <c r="R7"/>
      <c r="S7"/>
    </row>
    <row r="8" spans="1:25" x14ac:dyDescent="0.25">
      <c r="A8" s="76"/>
      <c r="B8" s="69"/>
      <c r="C8" s="82"/>
      <c r="D8" s="69"/>
      <c r="E8" s="69"/>
      <c r="F8" s="69"/>
      <c r="G8" s="69"/>
      <c r="H8" s="69"/>
      <c r="I8" s="69"/>
      <c r="J8" s="69"/>
      <c r="K8" s="69"/>
      <c r="L8" s="69"/>
      <c r="M8" s="69"/>
      <c r="N8" s="77"/>
      <c r="O8" s="51"/>
      <c r="P8"/>
      <c r="Q8"/>
      <c r="R8"/>
      <c r="S8"/>
    </row>
    <row r="9" spans="1:25" x14ac:dyDescent="0.25">
      <c r="A9" s="76"/>
      <c r="B9" s="69"/>
      <c r="C9" s="69"/>
      <c r="D9" s="69"/>
      <c r="E9" s="69"/>
      <c r="F9" s="69"/>
      <c r="G9" s="69"/>
      <c r="H9" s="69"/>
      <c r="I9" s="69"/>
      <c r="J9" s="69"/>
      <c r="K9" s="69"/>
      <c r="L9" s="69"/>
      <c r="M9" s="69"/>
      <c r="N9" s="77"/>
      <c r="O9" s="51"/>
      <c r="P9"/>
      <c r="Q9"/>
      <c r="R9"/>
      <c r="S9"/>
    </row>
    <row r="10" spans="1:25" ht="15.75" thickBot="1" x14ac:dyDescent="0.3">
      <c r="A10" s="76"/>
      <c r="B10" s="69"/>
      <c r="C10" s="69"/>
      <c r="D10" s="69"/>
      <c r="E10" s="69"/>
      <c r="F10" s="69"/>
      <c r="G10" s="69"/>
      <c r="H10" s="69"/>
      <c r="I10" s="69"/>
      <c r="J10" s="69"/>
      <c r="K10" s="69"/>
      <c r="L10" s="69"/>
      <c r="M10" s="69"/>
      <c r="N10" s="77"/>
      <c r="O10" s="51"/>
      <c r="P10"/>
      <c r="Q10"/>
      <c r="R10"/>
      <c r="S10"/>
      <c r="Y10" s="79">
        <v>43739.673483796294</v>
      </c>
    </row>
    <row r="11" spans="1:25" ht="18" customHeight="1" thickBot="1" x14ac:dyDescent="0.3">
      <c r="A11" s="76"/>
      <c r="B11" s="203" t="s">
        <v>73</v>
      </c>
      <c r="C11" s="204"/>
      <c r="D11" s="204"/>
      <c r="E11" s="205"/>
      <c r="F11" s="206"/>
      <c r="G11" s="207"/>
      <c r="H11" s="207"/>
      <c r="I11" s="207"/>
      <c r="J11" s="207"/>
      <c r="K11" s="207"/>
      <c r="L11" s="208"/>
      <c r="M11" s="69"/>
      <c r="N11" s="77"/>
      <c r="O11" s="51"/>
      <c r="P11"/>
      <c r="Q11"/>
      <c r="R11"/>
      <c r="S11"/>
    </row>
    <row r="12" spans="1:25" ht="18.75" customHeight="1" thickBot="1" x14ac:dyDescent="0.3">
      <c r="A12" s="76"/>
      <c r="B12" s="83" t="s">
        <v>70</v>
      </c>
      <c r="C12" s="84" t="s">
        <v>74</v>
      </c>
      <c r="D12" s="83" t="s">
        <v>72</v>
      </c>
      <c r="E12" s="80" t="s">
        <v>75</v>
      </c>
      <c r="F12" s="209"/>
      <c r="G12" s="210"/>
      <c r="H12" s="210"/>
      <c r="I12" s="210"/>
      <c r="J12" s="210"/>
      <c r="K12" s="210"/>
      <c r="L12" s="211"/>
      <c r="M12" s="69"/>
      <c r="N12" s="77"/>
      <c r="O12" s="51"/>
      <c r="P12"/>
      <c r="Q12"/>
      <c r="R12"/>
      <c r="S12"/>
    </row>
    <row r="13" spans="1:25" ht="18.75" customHeight="1" thickBot="1" x14ac:dyDescent="0.35">
      <c r="A13" s="76"/>
      <c r="B13" s="183"/>
      <c r="C13" s="182"/>
      <c r="D13" s="81"/>
      <c r="E13" s="182" t="s">
        <v>23</v>
      </c>
      <c r="F13" s="212"/>
      <c r="G13" s="213"/>
      <c r="H13" s="213"/>
      <c r="I13" s="213"/>
      <c r="J13" s="213"/>
      <c r="K13" s="213"/>
      <c r="L13" s="214"/>
      <c r="M13" s="69"/>
      <c r="N13" s="77"/>
      <c r="O13" s="51"/>
      <c r="P13"/>
      <c r="Q13"/>
      <c r="R13"/>
      <c r="S13"/>
    </row>
    <row r="14" spans="1:25" x14ac:dyDescent="0.25">
      <c r="A14" s="76"/>
      <c r="B14" s="69"/>
      <c r="C14" s="69"/>
      <c r="D14" s="69"/>
      <c r="E14" s="69"/>
      <c r="F14" s="69"/>
      <c r="G14" s="69"/>
      <c r="H14" s="69"/>
      <c r="I14" s="69"/>
      <c r="J14" s="69"/>
      <c r="K14" s="69"/>
      <c r="L14" s="69"/>
      <c r="M14" s="69"/>
      <c r="N14" s="77"/>
      <c r="O14" s="51"/>
      <c r="P14"/>
      <c r="Q14"/>
      <c r="R14"/>
      <c r="S14"/>
    </row>
    <row r="15" spans="1:25" x14ac:dyDescent="0.25">
      <c r="A15" s="76"/>
      <c r="B15" s="69"/>
      <c r="C15" s="69"/>
      <c r="D15" s="69"/>
      <c r="E15" s="69"/>
      <c r="F15" s="69"/>
      <c r="G15" s="69"/>
      <c r="H15" s="69"/>
      <c r="I15" s="69"/>
      <c r="J15" s="69"/>
      <c r="K15" s="69"/>
      <c r="L15" s="69"/>
      <c r="M15" s="69"/>
      <c r="N15" s="77"/>
      <c r="O15" s="51"/>
      <c r="P15"/>
      <c r="Q15"/>
      <c r="R15"/>
      <c r="S15"/>
    </row>
    <row r="16" spans="1:25" x14ac:dyDescent="0.25">
      <c r="A16" s="76"/>
      <c r="B16" s="69"/>
      <c r="C16" s="69"/>
      <c r="D16" s="69"/>
      <c r="E16" s="69"/>
      <c r="F16" s="69"/>
      <c r="G16" s="69"/>
      <c r="H16" s="69"/>
      <c r="I16" s="69"/>
      <c r="J16" s="69"/>
      <c r="K16" s="69"/>
      <c r="L16" s="69"/>
      <c r="M16" s="69"/>
      <c r="N16" s="77"/>
      <c r="O16" s="51"/>
      <c r="P16"/>
      <c r="Q16"/>
      <c r="R16"/>
      <c r="S16"/>
    </row>
    <row r="17" spans="1:25" ht="15.75" thickBot="1" x14ac:dyDescent="0.3">
      <c r="A17" s="76"/>
      <c r="B17" s="69"/>
      <c r="C17" s="69"/>
      <c r="D17" s="69"/>
      <c r="E17" s="69"/>
      <c r="F17" s="69"/>
      <c r="G17" s="69"/>
      <c r="H17" s="69"/>
      <c r="I17" s="69"/>
      <c r="J17" s="69"/>
      <c r="K17" s="69"/>
      <c r="L17" s="69"/>
      <c r="M17" s="69"/>
      <c r="N17" s="77"/>
      <c r="O17" s="51"/>
      <c r="P17"/>
      <c r="Q17"/>
      <c r="R17"/>
      <c r="S17"/>
    </row>
    <row r="18" spans="1:25" ht="15.75" thickBot="1" x14ac:dyDescent="0.3">
      <c r="A18" s="76"/>
      <c r="B18" s="215" t="s">
        <v>76</v>
      </c>
      <c r="C18" s="216"/>
      <c r="D18" s="217"/>
      <c r="E18" s="191"/>
      <c r="F18" s="191"/>
      <c r="G18" s="191"/>
      <c r="H18" s="191"/>
      <c r="I18" s="191"/>
      <c r="J18" s="191"/>
      <c r="K18" s="191"/>
      <c r="L18" s="192"/>
      <c r="M18" s="69"/>
      <c r="N18" s="77"/>
      <c r="O18" s="51"/>
      <c r="P18"/>
      <c r="Q18"/>
      <c r="R18"/>
      <c r="S18"/>
      <c r="Y18" s="79">
        <v>43739.693449074075</v>
      </c>
    </row>
    <row r="19" spans="1:25" ht="15.75" thickBot="1" x14ac:dyDescent="0.3">
      <c r="A19" s="76"/>
      <c r="B19" s="80" t="s">
        <v>70</v>
      </c>
      <c r="C19" s="80" t="s">
        <v>71</v>
      </c>
      <c r="D19" s="80" t="s">
        <v>72</v>
      </c>
      <c r="E19" s="193"/>
      <c r="F19" s="193"/>
      <c r="G19" s="193"/>
      <c r="H19" s="193"/>
      <c r="I19" s="193"/>
      <c r="J19" s="193"/>
      <c r="K19" s="193"/>
      <c r="L19" s="194"/>
      <c r="M19" s="69"/>
      <c r="N19" s="77"/>
      <c r="O19" s="51"/>
      <c r="P19"/>
      <c r="Q19"/>
      <c r="R19"/>
      <c r="S19"/>
    </row>
    <row r="20" spans="1:25" ht="19.5" thickBot="1" x14ac:dyDescent="0.35">
      <c r="A20" s="76"/>
      <c r="B20" s="181"/>
      <c r="C20" s="50"/>
      <c r="D20" s="81"/>
      <c r="E20" s="195"/>
      <c r="F20" s="195"/>
      <c r="G20" s="195"/>
      <c r="H20" s="195"/>
      <c r="I20" s="195"/>
      <c r="J20" s="195"/>
      <c r="K20" s="195"/>
      <c r="L20" s="196"/>
      <c r="M20" s="69"/>
      <c r="N20" s="77"/>
      <c r="O20" s="51"/>
      <c r="P20"/>
      <c r="Q20"/>
      <c r="R20"/>
      <c r="S20"/>
    </row>
    <row r="21" spans="1:25" x14ac:dyDescent="0.25">
      <c r="A21" s="76"/>
      <c r="B21" s="69"/>
      <c r="C21" s="69"/>
      <c r="D21" s="69"/>
      <c r="E21" s="69"/>
      <c r="F21" s="69"/>
      <c r="G21" s="69"/>
      <c r="H21" s="69"/>
      <c r="I21" s="69"/>
      <c r="J21" s="69"/>
      <c r="K21" s="69"/>
      <c r="L21" s="69"/>
      <c r="M21" s="69"/>
      <c r="N21" s="77"/>
      <c r="O21" s="51"/>
      <c r="P21"/>
      <c r="Q21"/>
      <c r="R21"/>
      <c r="S21"/>
    </row>
    <row r="22" spans="1:25" x14ac:dyDescent="0.25">
      <c r="A22" s="76"/>
      <c r="B22" s="69"/>
      <c r="C22" s="69"/>
      <c r="D22" s="69"/>
      <c r="E22" s="69"/>
      <c r="F22" s="69"/>
      <c r="G22" s="69"/>
      <c r="H22" s="69"/>
      <c r="I22" s="69"/>
      <c r="J22" s="69"/>
      <c r="K22" s="69"/>
      <c r="L22" s="69"/>
      <c r="M22" s="69"/>
      <c r="N22" s="77"/>
      <c r="O22" s="51"/>
      <c r="P22"/>
      <c r="Q22"/>
      <c r="R22"/>
      <c r="S22"/>
    </row>
    <row r="23" spans="1:25" x14ac:dyDescent="0.25">
      <c r="A23" s="76"/>
      <c r="B23" s="69"/>
      <c r="C23" s="69"/>
      <c r="D23" s="69"/>
      <c r="E23" s="69"/>
      <c r="F23" s="69"/>
      <c r="G23" s="69"/>
      <c r="H23" s="69"/>
      <c r="I23" s="69"/>
      <c r="J23" s="69"/>
      <c r="K23" s="69"/>
      <c r="L23" s="69"/>
      <c r="M23" s="69"/>
      <c r="N23" s="77"/>
      <c r="O23" s="51"/>
      <c r="P23"/>
      <c r="Q23"/>
      <c r="R23"/>
      <c r="S23"/>
    </row>
    <row r="24" spans="1:25" ht="15.75" thickBot="1" x14ac:dyDescent="0.3">
      <c r="A24" s="76"/>
      <c r="B24" s="69"/>
      <c r="C24" s="69"/>
      <c r="D24" s="69"/>
      <c r="E24" s="69"/>
      <c r="F24" s="69"/>
      <c r="G24" s="69"/>
      <c r="H24" s="69"/>
      <c r="I24" s="69"/>
      <c r="J24" s="69"/>
      <c r="K24" s="69"/>
      <c r="L24" s="69"/>
      <c r="M24" s="69"/>
      <c r="N24" s="77"/>
      <c r="O24" s="51"/>
      <c r="P24"/>
      <c r="Q24"/>
      <c r="R24"/>
      <c r="S24"/>
    </row>
    <row r="25" spans="1:25" ht="21" customHeight="1" thickBot="1" x14ac:dyDescent="0.3">
      <c r="A25" s="76"/>
      <c r="B25" s="189" t="s">
        <v>15</v>
      </c>
      <c r="C25" s="190"/>
      <c r="D25" s="191"/>
      <c r="E25" s="191"/>
      <c r="F25" s="191"/>
      <c r="G25" s="191"/>
      <c r="H25" s="191"/>
      <c r="I25" s="192"/>
      <c r="J25" s="69"/>
      <c r="K25" s="69"/>
      <c r="L25" s="69"/>
      <c r="M25" s="69"/>
      <c r="N25" s="77"/>
      <c r="O25" s="51"/>
      <c r="P25"/>
      <c r="Q25"/>
      <c r="R25"/>
      <c r="S25"/>
      <c r="Y25" s="79">
        <v>43743.534560185188</v>
      </c>
    </row>
    <row r="26" spans="1:25" ht="15.75" thickBot="1" x14ac:dyDescent="0.3">
      <c r="A26" s="76"/>
      <c r="B26" s="80" t="s">
        <v>38</v>
      </c>
      <c r="C26" s="80" t="s">
        <v>77</v>
      </c>
      <c r="D26" s="193"/>
      <c r="E26" s="193"/>
      <c r="F26" s="193"/>
      <c r="G26" s="193"/>
      <c r="H26" s="193"/>
      <c r="I26" s="194"/>
      <c r="J26" s="69"/>
      <c r="K26" s="69"/>
      <c r="L26" s="69"/>
      <c r="M26" s="69"/>
      <c r="N26" s="77"/>
      <c r="O26" s="51"/>
      <c r="P26"/>
      <c r="Q26"/>
      <c r="R26"/>
      <c r="S26"/>
    </row>
    <row r="27" spans="1:25" ht="19.5" thickBot="1" x14ac:dyDescent="0.35">
      <c r="A27" s="76"/>
      <c r="B27" s="180"/>
      <c r="C27" s="81"/>
      <c r="D27" s="195"/>
      <c r="E27" s="195"/>
      <c r="F27" s="195"/>
      <c r="G27" s="195"/>
      <c r="H27" s="195"/>
      <c r="I27" s="196"/>
      <c r="J27" s="69"/>
      <c r="K27" s="69"/>
      <c r="L27" s="69"/>
      <c r="M27" s="69"/>
      <c r="N27" s="77"/>
      <c r="O27" s="51"/>
      <c r="P27"/>
      <c r="Q27"/>
      <c r="R27"/>
      <c r="S27"/>
    </row>
    <row r="28" spans="1:25" x14ac:dyDescent="0.25">
      <c r="A28" s="76"/>
      <c r="B28" s="69" t="s">
        <v>89</v>
      </c>
      <c r="C28" s="69" t="s">
        <v>88</v>
      </c>
      <c r="D28" s="69"/>
      <c r="E28" s="69"/>
      <c r="F28" s="69"/>
      <c r="G28" s="69"/>
      <c r="H28" s="69"/>
      <c r="I28" s="69"/>
      <c r="J28" s="69"/>
      <c r="K28" s="69"/>
      <c r="L28" s="69"/>
      <c r="M28" s="69"/>
      <c r="N28" s="77"/>
      <c r="O28" s="51"/>
      <c r="P28"/>
      <c r="Q28"/>
      <c r="R28"/>
      <c r="S28"/>
    </row>
    <row r="29" spans="1:25" ht="15.75" thickBot="1" x14ac:dyDescent="0.3">
      <c r="A29" s="86"/>
      <c r="B29" s="87" t="s">
        <v>89</v>
      </c>
      <c r="C29" s="87"/>
      <c r="D29" s="87"/>
      <c r="E29" s="87"/>
      <c r="F29" s="87"/>
      <c r="G29" s="87"/>
      <c r="H29" s="87"/>
      <c r="I29" s="87"/>
      <c r="J29" s="87"/>
      <c r="K29" s="87"/>
      <c r="L29" s="87"/>
      <c r="M29" s="87"/>
      <c r="N29" s="88"/>
      <c r="O29" s="51"/>
      <c r="P29"/>
      <c r="Q29"/>
      <c r="R29"/>
      <c r="S29"/>
    </row>
    <row r="30" spans="1:25" x14ac:dyDescent="0.25">
      <c r="A30" s="69"/>
      <c r="B30" s="69"/>
      <c r="C30" s="89"/>
      <c r="D30" s="90"/>
      <c r="E30" s="90"/>
      <c r="F30" s="91"/>
      <c r="G30" s="69"/>
      <c r="H30" s="69"/>
      <c r="I30" s="69"/>
      <c r="J30" s="69"/>
      <c r="K30" s="69"/>
      <c r="L30" s="69"/>
      <c r="M30" s="69"/>
      <c r="N30" s="51"/>
      <c r="O30" s="51"/>
      <c r="P30"/>
      <c r="Q30"/>
      <c r="R30"/>
      <c r="S30"/>
      <c r="Y30" t="s">
        <v>22</v>
      </c>
    </row>
    <row r="31" spans="1:25" x14ac:dyDescent="0.25">
      <c r="A31" s="69"/>
      <c r="B31" s="69"/>
      <c r="C31" s="92"/>
      <c r="D31" s="93"/>
      <c r="E31" s="93"/>
      <c r="F31" s="94"/>
      <c r="G31" s="69"/>
      <c r="H31" s="69"/>
      <c r="I31" s="69"/>
      <c r="J31" s="69"/>
      <c r="K31" s="69"/>
      <c r="L31" s="69"/>
      <c r="M31" s="69"/>
      <c r="N31" s="51"/>
      <c r="O31" s="51"/>
      <c r="P31"/>
      <c r="Q31"/>
      <c r="R31"/>
      <c r="S31"/>
      <c r="Y31" t="s">
        <v>31</v>
      </c>
    </row>
    <row r="32" spans="1:25" x14ac:dyDescent="0.25">
      <c r="A32" s="69"/>
      <c r="B32" s="69"/>
      <c r="C32" s="92"/>
      <c r="D32" s="93"/>
      <c r="E32" s="93"/>
      <c r="F32" s="94"/>
      <c r="G32" s="69"/>
      <c r="H32" s="69"/>
      <c r="I32" s="69"/>
      <c r="J32" s="69"/>
      <c r="K32" s="69"/>
      <c r="L32" s="69"/>
      <c r="M32" s="69"/>
      <c r="N32" s="51"/>
      <c r="O32" s="51"/>
      <c r="P32"/>
      <c r="Q32"/>
      <c r="R32"/>
      <c r="S32"/>
    </row>
    <row r="33" spans="1:25" x14ac:dyDescent="0.25">
      <c r="A33" s="69"/>
      <c r="B33" s="69"/>
      <c r="C33" s="92"/>
      <c r="D33" s="93"/>
      <c r="E33" s="93"/>
      <c r="F33" s="94"/>
      <c r="G33" s="69"/>
      <c r="H33" s="69"/>
      <c r="I33" s="69"/>
      <c r="J33" s="69"/>
      <c r="K33" s="69"/>
      <c r="L33" s="69"/>
      <c r="M33" s="69"/>
      <c r="N33" s="51"/>
      <c r="O33" s="51"/>
      <c r="P33"/>
      <c r="Q33"/>
      <c r="R33"/>
      <c r="S33"/>
    </row>
    <row r="34" spans="1:25" x14ac:dyDescent="0.25">
      <c r="A34" s="69"/>
      <c r="B34" s="69"/>
      <c r="C34" s="92"/>
      <c r="D34" s="93"/>
      <c r="E34" s="93"/>
      <c r="F34" s="94"/>
      <c r="G34" s="69"/>
      <c r="H34" s="69"/>
      <c r="I34" s="69"/>
      <c r="J34" s="69"/>
      <c r="K34" s="69"/>
      <c r="L34" s="69"/>
      <c r="M34" s="69"/>
      <c r="N34" s="51"/>
      <c r="O34" s="51"/>
      <c r="P34"/>
      <c r="Q34"/>
      <c r="R34"/>
      <c r="S34"/>
      <c r="Y34" t="s">
        <v>23</v>
      </c>
    </row>
    <row r="35" spans="1:25" x14ac:dyDescent="0.25">
      <c r="A35" s="69"/>
      <c r="B35" s="69"/>
      <c r="C35" s="92"/>
      <c r="D35" s="93"/>
      <c r="E35" s="93"/>
      <c r="F35" s="94"/>
      <c r="G35" s="69"/>
      <c r="H35" s="69"/>
      <c r="I35" s="69"/>
      <c r="J35" s="69"/>
      <c r="K35" s="69"/>
      <c r="L35" s="69"/>
      <c r="M35" s="69"/>
      <c r="N35" s="51"/>
      <c r="O35" s="51"/>
      <c r="P35"/>
      <c r="Q35"/>
      <c r="R35"/>
      <c r="S35"/>
      <c r="Y35" t="s">
        <v>32</v>
      </c>
    </row>
    <row r="36" spans="1:25" x14ac:dyDescent="0.25">
      <c r="A36" s="69"/>
      <c r="B36" s="69"/>
      <c r="C36" s="92"/>
      <c r="D36" s="93"/>
      <c r="E36" s="93"/>
      <c r="F36" s="94"/>
      <c r="G36" s="69"/>
      <c r="H36" s="69"/>
      <c r="I36" s="69"/>
      <c r="J36" s="69"/>
      <c r="K36" s="69"/>
      <c r="L36" s="69"/>
      <c r="M36" s="69"/>
      <c r="N36" s="51"/>
      <c r="O36" s="51"/>
      <c r="P36"/>
      <c r="Q36"/>
      <c r="R36"/>
      <c r="S36"/>
    </row>
    <row r="37" spans="1:25" x14ac:dyDescent="0.25">
      <c r="A37" s="69"/>
      <c r="B37" s="69"/>
      <c r="C37" s="92"/>
      <c r="D37" s="93"/>
      <c r="E37" s="93"/>
      <c r="F37" s="94"/>
      <c r="G37" s="69"/>
      <c r="H37" s="69"/>
      <c r="I37" s="69"/>
      <c r="J37" s="69"/>
      <c r="K37" s="69"/>
      <c r="L37" s="69"/>
      <c r="M37" s="69"/>
      <c r="N37" s="51"/>
      <c r="O37" s="51"/>
      <c r="P37"/>
      <c r="Q37"/>
      <c r="R37"/>
      <c r="S37"/>
    </row>
    <row r="38" spans="1:25" ht="15.75" thickBot="1" x14ac:dyDescent="0.3">
      <c r="A38" s="69"/>
      <c r="B38" s="69"/>
      <c r="C38" s="95"/>
      <c r="D38" s="96"/>
      <c r="E38" s="96"/>
      <c r="F38" s="97"/>
      <c r="G38" s="69"/>
      <c r="H38" s="69"/>
      <c r="I38" s="69"/>
      <c r="J38" s="69"/>
      <c r="K38" s="69"/>
      <c r="L38" s="69"/>
      <c r="M38" s="69"/>
      <c r="N38" s="51"/>
      <c r="O38" s="51"/>
      <c r="P38"/>
      <c r="Q38"/>
      <c r="R38"/>
      <c r="S38"/>
    </row>
    <row r="39" spans="1:25" x14ac:dyDescent="0.25">
      <c r="A39" s="69"/>
      <c r="B39" s="69"/>
      <c r="C39" s="69"/>
      <c r="D39" s="69"/>
      <c r="E39" s="69"/>
      <c r="F39" s="69"/>
      <c r="G39" s="69"/>
      <c r="H39" s="69"/>
      <c r="I39" s="69"/>
      <c r="J39" s="69"/>
      <c r="K39" s="69"/>
      <c r="L39" s="69"/>
      <c r="M39" s="69"/>
      <c r="N39" s="51"/>
      <c r="O39" s="51"/>
      <c r="P39"/>
      <c r="Q39"/>
      <c r="R39"/>
      <c r="S39"/>
      <c r="Y39" t="s">
        <v>21</v>
      </c>
    </row>
    <row r="40" spans="1:25" x14ac:dyDescent="0.25">
      <c r="A40" s="69"/>
      <c r="B40" s="69"/>
      <c r="C40" s="69"/>
      <c r="D40" s="69"/>
      <c r="E40" s="69"/>
      <c r="F40" s="69"/>
      <c r="G40" s="69"/>
      <c r="H40" s="69"/>
      <c r="I40" s="69"/>
      <c r="J40" s="69"/>
      <c r="K40" s="69"/>
      <c r="L40" s="69"/>
      <c r="M40" s="69"/>
      <c r="N40" s="51"/>
      <c r="O40" s="51"/>
      <c r="P40"/>
      <c r="Q40"/>
      <c r="R40"/>
      <c r="S40"/>
      <c r="Y40" t="s">
        <v>30</v>
      </c>
    </row>
    <row r="41" spans="1:25" x14ac:dyDescent="0.25">
      <c r="A41" s="69"/>
      <c r="B41" s="69"/>
      <c r="C41" s="69"/>
      <c r="D41" s="69"/>
      <c r="E41" s="69"/>
      <c r="F41" s="69"/>
      <c r="G41" s="69"/>
      <c r="H41" s="69"/>
      <c r="I41" s="69"/>
      <c r="J41" s="69"/>
      <c r="K41" s="69"/>
      <c r="L41" s="69"/>
      <c r="M41" s="69"/>
      <c r="N41" s="51"/>
      <c r="O41" s="51"/>
      <c r="P41"/>
      <c r="Q41"/>
      <c r="R41"/>
      <c r="S41"/>
      <c r="Y41" t="s">
        <v>37</v>
      </c>
    </row>
    <row r="42" spans="1:25" x14ac:dyDescent="0.25">
      <c r="A42" s="69"/>
      <c r="B42" s="69"/>
      <c r="C42" s="69"/>
      <c r="D42" s="69"/>
      <c r="E42" s="69"/>
      <c r="F42" s="69"/>
      <c r="G42" s="69"/>
      <c r="H42" s="69"/>
      <c r="I42" s="69"/>
      <c r="J42" s="69"/>
      <c r="K42" s="69"/>
      <c r="L42" s="69"/>
      <c r="M42" s="69"/>
      <c r="N42" s="51"/>
      <c r="O42" s="51"/>
      <c r="P42"/>
      <c r="Q42"/>
      <c r="R42"/>
      <c r="S42"/>
    </row>
    <row r="43" spans="1:25" x14ac:dyDescent="0.25">
      <c r="A43" s="69"/>
      <c r="B43" s="69"/>
      <c r="C43" s="69"/>
      <c r="D43" s="69"/>
      <c r="E43" s="69"/>
      <c r="F43" s="69"/>
      <c r="G43" s="69"/>
      <c r="H43" s="69"/>
      <c r="I43" s="69"/>
      <c r="J43" s="69"/>
      <c r="K43" s="69"/>
      <c r="L43" s="69"/>
      <c r="M43" s="69"/>
      <c r="N43" s="51"/>
      <c r="O43" s="51"/>
      <c r="P43"/>
      <c r="Q43"/>
      <c r="R43"/>
      <c r="S43"/>
    </row>
    <row r="44" spans="1:25" x14ac:dyDescent="0.25">
      <c r="A44" s="69"/>
      <c r="B44" s="69"/>
      <c r="C44" s="69"/>
      <c r="D44" s="69"/>
      <c r="E44" s="69"/>
      <c r="F44" s="69"/>
      <c r="G44" s="69"/>
      <c r="H44" s="69"/>
      <c r="I44" s="69"/>
      <c r="J44" s="69"/>
      <c r="K44" s="69"/>
      <c r="L44" s="69"/>
      <c r="M44" s="69"/>
      <c r="N44" s="51"/>
      <c r="O44" s="51"/>
      <c r="P44"/>
      <c r="Q44"/>
      <c r="R44"/>
      <c r="S44"/>
    </row>
    <row r="45" spans="1:25" x14ac:dyDescent="0.25">
      <c r="A45" s="69"/>
      <c r="B45" s="69"/>
      <c r="C45" s="69"/>
      <c r="D45" s="69"/>
      <c r="E45" s="69"/>
      <c r="F45" s="69"/>
      <c r="G45" s="69"/>
      <c r="H45" s="69"/>
      <c r="I45" s="69"/>
      <c r="J45" s="69"/>
      <c r="K45" s="69"/>
      <c r="L45" s="69"/>
      <c r="M45" s="69"/>
      <c r="N45" s="51"/>
      <c r="O45" s="51"/>
      <c r="P45"/>
      <c r="Q45"/>
      <c r="R45"/>
      <c r="S45"/>
    </row>
    <row r="46" spans="1:25" x14ac:dyDescent="0.25">
      <c r="A46" s="69"/>
      <c r="B46" s="69"/>
      <c r="C46" s="69"/>
      <c r="D46" s="69"/>
      <c r="E46" s="69"/>
      <c r="F46" s="69"/>
      <c r="G46" s="69"/>
      <c r="H46" s="69"/>
      <c r="I46" s="69"/>
      <c r="J46" s="69"/>
      <c r="K46" s="69"/>
      <c r="L46" s="69"/>
      <c r="M46" s="69"/>
      <c r="N46" s="51"/>
      <c r="O46" s="51"/>
      <c r="P46"/>
      <c r="Q46"/>
      <c r="R46"/>
      <c r="S46"/>
    </row>
    <row r="47" spans="1:25" x14ac:dyDescent="0.25">
      <c r="A47" s="69"/>
      <c r="B47" s="69"/>
      <c r="C47" s="69"/>
      <c r="D47" s="69"/>
      <c r="E47" s="69"/>
      <c r="F47" s="69"/>
      <c r="G47" s="69"/>
      <c r="H47" s="69"/>
      <c r="I47" s="69"/>
      <c r="J47" s="69"/>
      <c r="K47" s="69"/>
      <c r="L47" s="69"/>
      <c r="M47" s="69"/>
      <c r="N47" s="51"/>
      <c r="O47" s="51"/>
      <c r="P47"/>
      <c r="Q47"/>
      <c r="R47"/>
      <c r="S47"/>
    </row>
    <row r="48" spans="1:25" x14ac:dyDescent="0.25">
      <c r="A48" s="69"/>
      <c r="B48" s="69"/>
      <c r="C48" s="69"/>
      <c r="D48" s="69"/>
      <c r="E48" s="69"/>
      <c r="F48" s="69"/>
      <c r="G48" s="69"/>
      <c r="H48" s="69"/>
      <c r="I48" s="69"/>
      <c r="J48" s="69"/>
      <c r="K48" s="69"/>
      <c r="L48" s="69"/>
      <c r="M48" s="69"/>
      <c r="N48" s="51"/>
      <c r="O48" s="51"/>
      <c r="P48"/>
      <c r="Q48"/>
      <c r="R48"/>
      <c r="S48"/>
    </row>
    <row r="49" spans="1:19" x14ac:dyDescent="0.25">
      <c r="A49" s="69"/>
      <c r="B49" s="69"/>
      <c r="C49" s="69"/>
      <c r="D49" s="69"/>
      <c r="E49" s="69"/>
      <c r="F49" s="69"/>
      <c r="G49" s="69"/>
      <c r="H49" s="69"/>
      <c r="I49" s="69"/>
      <c r="J49" s="69"/>
      <c r="K49" s="69"/>
      <c r="L49" s="69"/>
      <c r="M49" s="69"/>
      <c r="N49" s="51"/>
      <c r="O49" s="51"/>
      <c r="P49"/>
      <c r="Q49"/>
      <c r="R49"/>
      <c r="S49"/>
    </row>
    <row r="50" spans="1:19" x14ac:dyDescent="0.25">
      <c r="A50" s="69"/>
      <c r="B50" s="69"/>
      <c r="C50" s="69"/>
      <c r="D50" s="69"/>
      <c r="E50" s="69"/>
      <c r="F50" s="69"/>
      <c r="G50" s="69"/>
      <c r="H50" s="69"/>
      <c r="I50" s="69"/>
      <c r="J50" s="69"/>
      <c r="K50" s="69"/>
      <c r="L50" s="69"/>
      <c r="M50" s="69"/>
      <c r="N50" s="51"/>
      <c r="O50" s="51"/>
      <c r="P50"/>
      <c r="Q50"/>
      <c r="R50"/>
      <c r="S50"/>
    </row>
    <row r="51" spans="1:19" x14ac:dyDescent="0.25">
      <c r="A51" s="69"/>
      <c r="B51" s="69"/>
      <c r="C51" s="69"/>
      <c r="D51" s="69"/>
      <c r="E51" s="69"/>
      <c r="F51" s="69"/>
      <c r="G51" s="69"/>
      <c r="H51" s="69"/>
      <c r="I51" s="69"/>
      <c r="J51" s="69"/>
      <c r="K51" s="69"/>
      <c r="L51" s="69"/>
      <c r="M51" s="69"/>
      <c r="N51" s="51"/>
      <c r="O51" s="51"/>
      <c r="P51"/>
      <c r="Q51"/>
      <c r="R51"/>
      <c r="S51"/>
    </row>
    <row r="52" spans="1:19" x14ac:dyDescent="0.25">
      <c r="A52" s="69"/>
      <c r="B52" s="69"/>
      <c r="C52" s="69"/>
      <c r="D52" s="69"/>
      <c r="E52" s="69"/>
      <c r="F52" s="69"/>
      <c r="G52" s="69"/>
      <c r="H52" s="69"/>
      <c r="I52" s="69"/>
      <c r="J52" s="69"/>
      <c r="K52" s="69"/>
      <c r="L52" s="69"/>
      <c r="M52" s="69"/>
      <c r="N52" s="51"/>
      <c r="O52" s="51"/>
      <c r="P52"/>
      <c r="Q52"/>
      <c r="R52"/>
      <c r="S52"/>
    </row>
    <row r="53" spans="1:19" x14ac:dyDescent="0.25">
      <c r="A53" s="69"/>
      <c r="B53" s="69"/>
      <c r="C53" s="69"/>
      <c r="D53" s="69"/>
      <c r="E53" s="69"/>
      <c r="F53" s="69"/>
      <c r="G53" s="69"/>
      <c r="H53" s="69"/>
      <c r="I53" s="69"/>
      <c r="J53" s="69"/>
      <c r="K53" s="69"/>
      <c r="L53" s="69"/>
      <c r="M53" s="69"/>
      <c r="N53" s="51"/>
      <c r="O53" s="51"/>
      <c r="P53"/>
      <c r="Q53"/>
      <c r="R53"/>
      <c r="S53"/>
    </row>
    <row r="54" spans="1:19" x14ac:dyDescent="0.25">
      <c r="A54" s="69"/>
      <c r="B54" s="69"/>
      <c r="C54" s="69"/>
      <c r="D54" s="69"/>
      <c r="E54" s="69"/>
      <c r="F54" s="69"/>
      <c r="G54" s="69"/>
      <c r="H54" s="69"/>
      <c r="I54" s="69"/>
      <c r="J54" s="69"/>
      <c r="K54" s="69"/>
      <c r="L54" s="69"/>
      <c r="M54" s="69"/>
      <c r="N54" s="51"/>
      <c r="O54" s="51"/>
      <c r="P54"/>
      <c r="Q54"/>
      <c r="R54"/>
      <c r="S54"/>
    </row>
    <row r="55" spans="1:19" x14ac:dyDescent="0.25">
      <c r="A55" s="69"/>
      <c r="B55" s="69"/>
      <c r="C55" s="69"/>
      <c r="D55" s="69"/>
      <c r="E55" s="69"/>
      <c r="F55" s="69"/>
      <c r="G55" s="69"/>
      <c r="H55" s="69"/>
      <c r="I55" s="69"/>
      <c r="J55" s="69"/>
      <c r="K55" s="69"/>
      <c r="L55" s="69"/>
      <c r="M55" s="69"/>
      <c r="N55" s="51"/>
      <c r="O55" s="51"/>
      <c r="P55"/>
      <c r="Q55"/>
      <c r="R55"/>
      <c r="S55"/>
    </row>
    <row r="56" spans="1:19" x14ac:dyDescent="0.25">
      <c r="A56" s="69"/>
      <c r="B56" s="69"/>
      <c r="C56" s="69"/>
      <c r="D56" s="69"/>
      <c r="E56" s="69"/>
      <c r="F56" s="69"/>
      <c r="G56" s="69"/>
      <c r="H56" s="69"/>
      <c r="I56" s="69"/>
      <c r="J56" s="69"/>
      <c r="K56" s="69"/>
      <c r="L56" s="69"/>
      <c r="M56" s="69"/>
      <c r="N56" s="51"/>
      <c r="O56" s="51"/>
      <c r="P56"/>
      <c r="Q56"/>
      <c r="R56"/>
      <c r="S56"/>
    </row>
    <row r="57" spans="1:19" x14ac:dyDescent="0.25">
      <c r="A57" s="69"/>
      <c r="B57" s="69"/>
      <c r="C57" s="69"/>
      <c r="D57" s="69"/>
      <c r="E57" s="69"/>
      <c r="F57" s="69"/>
      <c r="G57" s="69"/>
      <c r="H57" s="69"/>
      <c r="I57" s="69"/>
      <c r="J57" s="69"/>
      <c r="K57" s="69"/>
      <c r="L57" s="69"/>
      <c r="M57" s="69"/>
      <c r="N57" s="51"/>
      <c r="O57" s="51"/>
      <c r="P57"/>
      <c r="Q57"/>
      <c r="R57"/>
      <c r="S57"/>
    </row>
    <row r="58" spans="1:19" x14ac:dyDescent="0.25">
      <c r="A58" s="69"/>
      <c r="B58" s="69"/>
      <c r="C58" s="69"/>
      <c r="D58" s="69"/>
      <c r="E58" s="69"/>
      <c r="F58" s="69"/>
      <c r="G58" s="69"/>
      <c r="H58" s="69"/>
      <c r="I58" s="69"/>
      <c r="J58" s="69"/>
      <c r="K58" s="69"/>
      <c r="L58" s="69"/>
      <c r="M58" s="69"/>
      <c r="N58" s="51"/>
      <c r="O58" s="51"/>
      <c r="P58"/>
      <c r="Q58"/>
      <c r="R58"/>
      <c r="S58"/>
    </row>
    <row r="59" spans="1:19" x14ac:dyDescent="0.25">
      <c r="A59" s="69"/>
      <c r="B59" s="69"/>
      <c r="C59" s="69"/>
      <c r="D59" s="69"/>
      <c r="E59" s="69"/>
      <c r="F59" s="69"/>
      <c r="G59" s="69"/>
      <c r="H59" s="69"/>
      <c r="I59" s="69"/>
      <c r="J59" s="69"/>
      <c r="K59" s="69"/>
      <c r="L59" s="69"/>
      <c r="M59" s="69"/>
      <c r="N59" s="51"/>
      <c r="O59" s="51"/>
      <c r="P59"/>
      <c r="Q59"/>
      <c r="R59"/>
      <c r="S59"/>
    </row>
    <row r="60" spans="1:19" x14ac:dyDescent="0.25">
      <c r="A60" s="69"/>
      <c r="B60" s="69"/>
      <c r="C60" s="69"/>
      <c r="D60" s="69"/>
      <c r="E60" s="69"/>
      <c r="F60" s="69"/>
      <c r="G60" s="69"/>
      <c r="H60" s="69"/>
      <c r="I60" s="69"/>
      <c r="J60" s="69"/>
      <c r="K60" s="69"/>
      <c r="L60" s="69"/>
      <c r="M60" s="69"/>
      <c r="N60" s="51"/>
      <c r="O60" s="51"/>
      <c r="P60"/>
      <c r="Q60"/>
      <c r="R60"/>
      <c r="S60"/>
    </row>
    <row r="61" spans="1:19" x14ac:dyDescent="0.25">
      <c r="A61" s="69"/>
      <c r="B61" s="69"/>
      <c r="C61" s="69"/>
      <c r="D61" s="69"/>
      <c r="E61" s="69"/>
      <c r="F61" s="69"/>
      <c r="G61" s="69"/>
      <c r="H61" s="69"/>
      <c r="I61" s="69"/>
      <c r="J61" s="69"/>
      <c r="K61" s="69"/>
      <c r="L61" s="69"/>
      <c r="M61" s="69"/>
      <c r="N61" s="51"/>
      <c r="O61" s="51"/>
      <c r="P61"/>
      <c r="Q61"/>
      <c r="R61"/>
      <c r="S61"/>
    </row>
    <row r="62" spans="1:19" x14ac:dyDescent="0.25">
      <c r="A62" s="69"/>
      <c r="B62" s="69"/>
      <c r="C62" s="69"/>
      <c r="D62" s="69"/>
      <c r="E62" s="69"/>
      <c r="F62" s="69"/>
      <c r="G62" s="69"/>
      <c r="H62" s="69"/>
      <c r="I62" s="69"/>
      <c r="J62" s="69"/>
      <c r="K62" s="69"/>
      <c r="L62" s="69"/>
      <c r="M62" s="69"/>
      <c r="N62" s="51"/>
      <c r="O62" s="51"/>
      <c r="P62"/>
      <c r="Q62"/>
      <c r="R62"/>
      <c r="S62"/>
    </row>
    <row r="63" spans="1:19" x14ac:dyDescent="0.25">
      <c r="A63" s="69"/>
      <c r="B63" s="69"/>
      <c r="C63" s="69"/>
      <c r="D63" s="69"/>
      <c r="E63" s="69"/>
      <c r="F63" s="69"/>
      <c r="G63" s="69"/>
      <c r="H63" s="69"/>
      <c r="I63" s="69"/>
      <c r="J63" s="69"/>
      <c r="K63" s="69"/>
      <c r="L63" s="69"/>
      <c r="M63" s="69"/>
      <c r="N63" s="51"/>
      <c r="O63" s="51"/>
      <c r="P63"/>
      <c r="Q63"/>
      <c r="R63"/>
      <c r="S63"/>
    </row>
    <row r="64" spans="1:19" x14ac:dyDescent="0.25">
      <c r="A64" s="69"/>
      <c r="B64" s="69"/>
      <c r="C64" s="69"/>
      <c r="D64" s="69"/>
      <c r="E64" s="69"/>
      <c r="F64" s="69"/>
      <c r="G64" s="69"/>
      <c r="H64" s="69"/>
      <c r="I64" s="69"/>
      <c r="J64" s="69"/>
      <c r="K64" s="69"/>
      <c r="L64" s="69"/>
      <c r="M64" s="69"/>
      <c r="N64" s="51"/>
      <c r="O64" s="51"/>
      <c r="P64"/>
      <c r="Q64"/>
      <c r="R64"/>
      <c r="S64"/>
    </row>
    <row r="65" spans="1:19" x14ac:dyDescent="0.25">
      <c r="A65" s="69"/>
      <c r="B65" s="69"/>
      <c r="C65" s="69"/>
      <c r="D65" s="69"/>
      <c r="E65" s="69"/>
      <c r="F65" s="69"/>
      <c r="G65" s="69"/>
      <c r="H65" s="69"/>
      <c r="I65" s="69"/>
      <c r="J65" s="69"/>
      <c r="K65" s="69"/>
      <c r="L65" s="69"/>
      <c r="M65" s="69"/>
      <c r="N65" s="51"/>
      <c r="O65" s="51"/>
      <c r="P65"/>
      <c r="Q65"/>
      <c r="R65"/>
      <c r="S65"/>
    </row>
    <row r="66" spans="1:19" x14ac:dyDescent="0.25">
      <c r="A66" s="69"/>
      <c r="B66" s="69"/>
      <c r="C66" s="69"/>
      <c r="D66" s="69"/>
      <c r="E66" s="69"/>
      <c r="F66" s="69"/>
      <c r="G66" s="69"/>
      <c r="H66" s="69"/>
      <c r="I66" s="69"/>
      <c r="J66" s="69"/>
      <c r="K66" s="69"/>
      <c r="L66" s="69"/>
      <c r="M66" s="69"/>
      <c r="N66" s="51"/>
      <c r="O66" s="51"/>
      <c r="P66"/>
      <c r="Q66"/>
      <c r="R66"/>
      <c r="S66"/>
    </row>
    <row r="67" spans="1:19" x14ac:dyDescent="0.25">
      <c r="A67" s="69"/>
      <c r="B67" s="69"/>
      <c r="C67" s="69"/>
      <c r="D67" s="69"/>
      <c r="E67" s="69"/>
      <c r="F67" s="69"/>
      <c r="G67" s="69"/>
      <c r="H67" s="69"/>
      <c r="I67" s="69"/>
      <c r="J67" s="69"/>
      <c r="K67" s="69"/>
      <c r="L67" s="69"/>
      <c r="M67" s="69"/>
      <c r="N67" s="51"/>
      <c r="O67" s="51"/>
      <c r="P67"/>
      <c r="Q67"/>
      <c r="R67"/>
      <c r="S67"/>
    </row>
    <row r="68" spans="1:19" x14ac:dyDescent="0.25">
      <c r="A68" s="69"/>
      <c r="B68" s="69"/>
      <c r="C68" s="69"/>
      <c r="D68" s="69"/>
      <c r="E68" s="69"/>
      <c r="F68" s="69"/>
      <c r="G68" s="69"/>
      <c r="H68" s="69"/>
      <c r="I68" s="69"/>
      <c r="J68" s="69"/>
      <c r="K68" s="69"/>
      <c r="L68" s="69"/>
      <c r="M68" s="69"/>
      <c r="N68" s="51"/>
      <c r="O68" s="51"/>
      <c r="P68"/>
      <c r="Q68"/>
      <c r="R68"/>
      <c r="S68"/>
    </row>
    <row r="69" spans="1:19" x14ac:dyDescent="0.25">
      <c r="A69" s="69"/>
      <c r="B69" s="69"/>
      <c r="C69" s="69"/>
      <c r="D69" s="69"/>
      <c r="E69" s="69"/>
      <c r="F69" s="69"/>
      <c r="G69" s="69"/>
      <c r="H69" s="69"/>
      <c r="I69" s="69"/>
      <c r="J69" s="69"/>
      <c r="K69" s="69"/>
      <c r="L69" s="69"/>
      <c r="M69" s="69"/>
      <c r="N69" s="51"/>
      <c r="O69" s="51"/>
      <c r="P69"/>
      <c r="Q69"/>
      <c r="R69"/>
      <c r="S69"/>
    </row>
    <row r="70" spans="1:19" x14ac:dyDescent="0.25">
      <c r="A70" s="69"/>
      <c r="B70" s="69"/>
      <c r="C70" s="69"/>
      <c r="D70" s="69"/>
      <c r="E70" s="69"/>
      <c r="F70" s="69"/>
      <c r="G70" s="69"/>
      <c r="H70" s="69"/>
      <c r="I70" s="69"/>
      <c r="J70" s="69"/>
      <c r="K70" s="69"/>
      <c r="L70" s="69"/>
      <c r="M70" s="69"/>
      <c r="N70" s="51"/>
      <c r="O70" s="51"/>
      <c r="P70"/>
      <c r="Q70"/>
      <c r="R70"/>
      <c r="S70"/>
    </row>
    <row r="71" spans="1:19" x14ac:dyDescent="0.25">
      <c r="A71" s="69"/>
      <c r="B71" s="69"/>
      <c r="C71" s="69"/>
      <c r="D71" s="69"/>
      <c r="E71" s="69"/>
      <c r="F71" s="69"/>
      <c r="G71" s="69"/>
      <c r="H71" s="69"/>
      <c r="I71" s="69"/>
      <c r="J71" s="69"/>
      <c r="K71" s="69"/>
      <c r="L71" s="69"/>
      <c r="M71" s="69"/>
      <c r="N71" s="51"/>
      <c r="O71" s="51"/>
      <c r="P71"/>
      <c r="Q71"/>
      <c r="R71"/>
      <c r="S71"/>
    </row>
    <row r="72" spans="1:19" x14ac:dyDescent="0.25">
      <c r="A72" s="69"/>
      <c r="B72" s="69"/>
      <c r="C72" s="69"/>
      <c r="D72" s="69"/>
      <c r="E72" s="69"/>
      <c r="F72" s="69"/>
      <c r="G72" s="69"/>
      <c r="H72" s="69"/>
      <c r="I72" s="69"/>
      <c r="J72" s="69"/>
      <c r="K72" s="69"/>
      <c r="L72" s="69"/>
      <c r="M72" s="69"/>
      <c r="N72" s="51"/>
      <c r="O72" s="51"/>
      <c r="P72"/>
      <c r="Q72"/>
      <c r="R72"/>
      <c r="S72"/>
    </row>
    <row r="73" spans="1:19" x14ac:dyDescent="0.25">
      <c r="A73" s="69"/>
      <c r="B73" s="69"/>
      <c r="C73" s="69"/>
      <c r="D73" s="69"/>
      <c r="E73" s="69"/>
      <c r="F73" s="69"/>
      <c r="G73" s="69"/>
      <c r="H73" s="69"/>
      <c r="I73" s="69"/>
      <c r="J73" s="69"/>
      <c r="K73" s="69"/>
      <c r="L73" s="69"/>
      <c r="M73" s="69"/>
      <c r="N73" s="51"/>
      <c r="O73" s="51"/>
      <c r="P73"/>
      <c r="Q73"/>
      <c r="R73"/>
      <c r="S73"/>
    </row>
    <row r="74" spans="1:19" x14ac:dyDescent="0.25">
      <c r="A74" s="69"/>
      <c r="B74" s="69"/>
      <c r="C74" s="69"/>
      <c r="D74" s="69"/>
      <c r="E74" s="69"/>
      <c r="F74" s="69"/>
      <c r="G74" s="69"/>
      <c r="H74" s="69"/>
      <c r="I74" s="69"/>
      <c r="J74" s="69"/>
      <c r="K74" s="69"/>
      <c r="L74" s="69"/>
      <c r="M74" s="69"/>
      <c r="N74" s="51"/>
      <c r="O74" s="51"/>
      <c r="P74"/>
      <c r="Q74"/>
      <c r="R74"/>
      <c r="S74"/>
    </row>
    <row r="75" spans="1:19" x14ac:dyDescent="0.25">
      <c r="A75" s="69"/>
      <c r="B75" s="69"/>
      <c r="C75" s="69"/>
      <c r="D75" s="69"/>
      <c r="E75" s="69"/>
      <c r="F75" s="69"/>
      <c r="G75" s="69"/>
      <c r="H75" s="69"/>
      <c r="I75" s="69"/>
      <c r="J75" s="69"/>
      <c r="K75" s="69"/>
      <c r="L75" s="69"/>
      <c r="M75" s="69"/>
      <c r="N75" s="51"/>
      <c r="O75" s="51"/>
      <c r="P75"/>
      <c r="Q75"/>
      <c r="R75"/>
      <c r="S75"/>
    </row>
    <row r="76" spans="1:19" x14ac:dyDescent="0.25">
      <c r="A76" s="69"/>
      <c r="B76" s="69"/>
      <c r="C76" s="69"/>
      <c r="D76" s="69"/>
      <c r="E76" s="69"/>
      <c r="F76" s="69"/>
      <c r="G76" s="69"/>
      <c r="H76" s="69"/>
      <c r="I76" s="69"/>
      <c r="J76" s="69"/>
      <c r="K76" s="69"/>
      <c r="L76" s="69"/>
      <c r="M76" s="69"/>
      <c r="N76" s="51"/>
      <c r="O76" s="51"/>
      <c r="P76"/>
      <c r="Q76"/>
      <c r="R76"/>
      <c r="S76"/>
    </row>
    <row r="77" spans="1:19" x14ac:dyDescent="0.25">
      <c r="A77" s="69"/>
      <c r="B77" s="69"/>
      <c r="C77" s="69"/>
      <c r="D77" s="69"/>
      <c r="E77" s="69"/>
      <c r="F77" s="69"/>
      <c r="G77" s="69"/>
      <c r="H77" s="69"/>
      <c r="I77" s="69"/>
      <c r="J77" s="69"/>
      <c r="K77" s="69"/>
      <c r="L77" s="69"/>
      <c r="M77" s="69"/>
      <c r="N77" s="51"/>
      <c r="O77" s="51"/>
      <c r="P77"/>
      <c r="Q77"/>
      <c r="R77"/>
      <c r="S77"/>
    </row>
    <row r="78" spans="1:19" x14ac:dyDescent="0.25">
      <c r="A78" s="69"/>
      <c r="B78" s="69"/>
      <c r="C78" s="69"/>
      <c r="D78" s="69"/>
      <c r="E78" s="69"/>
      <c r="F78" s="69"/>
      <c r="G78" s="69"/>
      <c r="H78" s="69"/>
      <c r="I78" s="69"/>
      <c r="J78" s="69"/>
      <c r="K78" s="69"/>
      <c r="L78" s="69"/>
      <c r="M78" s="69"/>
      <c r="N78" s="51"/>
      <c r="O78" s="51"/>
      <c r="P78"/>
      <c r="Q78"/>
      <c r="R78"/>
      <c r="S78"/>
    </row>
    <row r="79" spans="1:19" x14ac:dyDescent="0.25">
      <c r="A79" s="69"/>
      <c r="B79" s="69"/>
      <c r="C79" s="69"/>
      <c r="D79" s="69"/>
      <c r="E79" s="69"/>
      <c r="F79" s="69"/>
      <c r="G79" s="69"/>
      <c r="H79" s="69"/>
      <c r="I79" s="69"/>
      <c r="J79" s="69"/>
      <c r="K79" s="69"/>
      <c r="L79" s="69"/>
      <c r="M79" s="69"/>
      <c r="N79" s="51"/>
      <c r="O79" s="51"/>
      <c r="P79"/>
      <c r="Q79"/>
      <c r="R79"/>
      <c r="S79"/>
    </row>
    <row r="80" spans="1:19" x14ac:dyDescent="0.25">
      <c r="A80" s="98"/>
      <c r="B80" s="98"/>
      <c r="C80" s="98"/>
      <c r="D80" s="98"/>
      <c r="E80" s="98"/>
      <c r="F80" s="98"/>
      <c r="G80" s="98"/>
      <c r="H80" s="98"/>
      <c r="I80" s="98"/>
      <c r="J80" s="98"/>
      <c r="K80" s="98"/>
      <c r="L80" s="98"/>
      <c r="M80" s="98"/>
      <c r="N80" s="51"/>
      <c r="O80" s="51"/>
      <c r="P80"/>
      <c r="Q80"/>
      <c r="R80"/>
      <c r="S80"/>
    </row>
    <row r="81" spans="1:19" x14ac:dyDescent="0.25">
      <c r="A81" s="99"/>
      <c r="B81" s="100"/>
      <c r="C81" s="100"/>
      <c r="D81" s="100"/>
      <c r="E81" s="101"/>
      <c r="F81" s="100"/>
      <c r="G81" s="100"/>
      <c r="H81" s="100"/>
      <c r="I81" s="100"/>
      <c r="J81" s="100"/>
      <c r="K81" s="100"/>
      <c r="L81" s="100"/>
      <c r="M81" s="100"/>
      <c r="N81" s="51"/>
      <c r="O81" s="51"/>
      <c r="P81"/>
      <c r="Q81"/>
      <c r="R81"/>
      <c r="S81"/>
    </row>
    <row r="82" spans="1:19" x14ac:dyDescent="0.25">
      <c r="A82" s="99"/>
      <c r="B82" s="100"/>
      <c r="C82" s="100"/>
      <c r="D82" s="100"/>
      <c r="E82" s="101"/>
      <c r="F82" s="100"/>
      <c r="G82" s="100"/>
      <c r="H82" s="100"/>
      <c r="I82" s="100"/>
      <c r="J82" s="100"/>
      <c r="K82" s="100"/>
      <c r="L82" s="100"/>
      <c r="M82" s="100"/>
      <c r="N82" s="51"/>
      <c r="O82" s="51"/>
      <c r="P82"/>
      <c r="Q82"/>
      <c r="R82"/>
      <c r="S82"/>
    </row>
    <row r="83" spans="1:19" x14ac:dyDescent="0.25">
      <c r="A83" s="99"/>
      <c r="B83" s="100"/>
      <c r="C83" s="100"/>
      <c r="D83" s="100"/>
      <c r="E83" s="101"/>
      <c r="F83" s="100"/>
      <c r="G83" s="100"/>
      <c r="H83" s="100"/>
      <c r="I83" s="100"/>
      <c r="J83" s="100"/>
      <c r="K83" s="100"/>
      <c r="L83" s="100"/>
      <c r="M83" s="100"/>
      <c r="N83" s="51"/>
      <c r="O83" s="51"/>
      <c r="P83"/>
      <c r="Q83"/>
      <c r="R83"/>
      <c r="S83"/>
    </row>
    <row r="84" spans="1:19" x14ac:dyDescent="0.25">
      <c r="A84" s="99"/>
      <c r="B84" s="100"/>
      <c r="C84" s="100"/>
      <c r="D84" s="100"/>
      <c r="E84" s="100"/>
      <c r="F84" s="100"/>
      <c r="G84" s="100"/>
      <c r="H84" s="100"/>
      <c r="I84" s="100"/>
      <c r="J84" s="100"/>
      <c r="K84" s="100"/>
      <c r="L84" s="100"/>
      <c r="M84" s="100"/>
      <c r="N84" s="51"/>
      <c r="O84" s="51"/>
      <c r="P84"/>
      <c r="Q84"/>
      <c r="R84"/>
      <c r="S84"/>
    </row>
    <row r="85" spans="1:19" x14ac:dyDescent="0.25">
      <c r="A85" s="99"/>
      <c r="B85" s="100"/>
      <c r="C85" s="100"/>
      <c r="D85" s="100"/>
      <c r="E85" s="100"/>
      <c r="F85" s="100"/>
      <c r="G85" s="100"/>
      <c r="H85" s="100"/>
      <c r="I85" s="100"/>
      <c r="J85" s="100"/>
      <c r="K85" s="100"/>
      <c r="L85" s="100"/>
      <c r="M85" s="100"/>
      <c r="N85" s="51"/>
      <c r="O85" s="51"/>
      <c r="P85"/>
      <c r="Q85"/>
      <c r="R85"/>
      <c r="S85"/>
    </row>
    <row r="86" spans="1:19" x14ac:dyDescent="0.25">
      <c r="A86" s="99"/>
      <c r="B86" s="100"/>
      <c r="C86" s="100"/>
      <c r="D86" s="100"/>
      <c r="E86" s="100"/>
      <c r="F86" s="100"/>
      <c r="G86" s="100"/>
      <c r="H86" s="100"/>
      <c r="I86" s="100"/>
      <c r="J86" s="100"/>
      <c r="K86" s="100"/>
      <c r="L86" s="100"/>
      <c r="M86" s="100"/>
      <c r="N86" s="51"/>
      <c r="O86" s="51"/>
      <c r="P86"/>
      <c r="Q86"/>
      <c r="R86"/>
      <c r="S86"/>
    </row>
    <row r="87" spans="1:19" x14ac:dyDescent="0.25">
      <c r="A87" s="99"/>
      <c r="B87" s="100"/>
      <c r="C87" s="100"/>
      <c r="D87" s="100"/>
      <c r="E87" s="100"/>
      <c r="F87" s="100"/>
      <c r="G87" s="100"/>
      <c r="H87" s="100"/>
      <c r="I87" s="100"/>
      <c r="J87" s="100"/>
      <c r="K87" s="100"/>
      <c r="L87" s="100"/>
      <c r="M87" s="100"/>
      <c r="N87" s="51"/>
      <c r="O87" s="51"/>
      <c r="P87"/>
      <c r="Q87"/>
      <c r="R87"/>
      <c r="S87"/>
    </row>
    <row r="88" spans="1:19" x14ac:dyDescent="0.25">
      <c r="A88" s="99"/>
      <c r="B88" s="100"/>
      <c r="C88" s="100"/>
      <c r="D88" s="100"/>
      <c r="E88" s="100"/>
      <c r="F88" s="100"/>
      <c r="G88" s="100"/>
      <c r="H88" s="100"/>
      <c r="I88" s="100"/>
      <c r="J88" s="100"/>
      <c r="K88" s="100"/>
      <c r="L88" s="100"/>
      <c r="M88" s="100"/>
      <c r="N88" s="51"/>
      <c r="O88" s="51"/>
      <c r="P88"/>
      <c r="Q88"/>
      <c r="R88"/>
      <c r="S88"/>
    </row>
    <row r="89" spans="1:19" x14ac:dyDescent="0.25">
      <c r="A89" s="99"/>
      <c r="B89" s="100"/>
      <c r="C89" s="100"/>
      <c r="D89" s="100"/>
      <c r="E89" s="100"/>
      <c r="F89" s="100"/>
      <c r="G89" s="100"/>
      <c r="H89" s="100"/>
      <c r="I89" s="100"/>
      <c r="J89" s="100"/>
      <c r="K89" s="100"/>
      <c r="L89" s="100"/>
      <c r="M89" s="100"/>
      <c r="N89" s="51"/>
      <c r="O89" s="51"/>
      <c r="P89"/>
      <c r="Q89"/>
      <c r="R89"/>
      <c r="S89"/>
    </row>
    <row r="90" spans="1:19" x14ac:dyDescent="0.25">
      <c r="A90" s="99"/>
      <c r="B90" s="100"/>
      <c r="C90" s="100"/>
      <c r="D90" s="100"/>
      <c r="E90" s="100"/>
      <c r="F90" s="100"/>
      <c r="G90" s="100"/>
      <c r="H90" s="100"/>
      <c r="I90" s="100"/>
      <c r="J90" s="100"/>
      <c r="K90" s="100"/>
      <c r="L90" s="100"/>
      <c r="M90" s="100"/>
      <c r="N90" s="51"/>
      <c r="O90" s="51"/>
      <c r="P90"/>
      <c r="Q90"/>
      <c r="R90"/>
      <c r="S90"/>
    </row>
    <row r="91" spans="1:19" x14ac:dyDescent="0.25">
      <c r="A91" s="99"/>
      <c r="B91" s="100"/>
      <c r="C91" s="100"/>
      <c r="D91" s="100"/>
      <c r="E91" s="100"/>
      <c r="F91" s="100"/>
      <c r="G91" s="100"/>
      <c r="H91" s="100"/>
      <c r="I91" s="100"/>
      <c r="J91" s="100"/>
      <c r="K91" s="100"/>
      <c r="L91" s="100"/>
      <c r="M91" s="100"/>
      <c r="N91" s="51"/>
      <c r="O91" s="51"/>
      <c r="P91"/>
      <c r="Q91"/>
      <c r="R91"/>
      <c r="S91"/>
    </row>
    <row r="92" spans="1:19" x14ac:dyDescent="0.25">
      <c r="A92" s="99"/>
      <c r="B92" s="100"/>
      <c r="C92" s="100"/>
      <c r="D92" s="100"/>
      <c r="E92" s="100"/>
      <c r="F92" s="100"/>
      <c r="G92" s="100"/>
      <c r="H92" s="100"/>
      <c r="I92" s="100"/>
      <c r="J92" s="100"/>
      <c r="K92" s="100"/>
      <c r="L92" s="100"/>
      <c r="M92" s="100"/>
      <c r="N92" s="51"/>
      <c r="O92" s="51"/>
      <c r="P92"/>
      <c r="Q92"/>
      <c r="R92"/>
      <c r="S92"/>
    </row>
    <row r="93" spans="1:19" x14ac:dyDescent="0.25">
      <c r="A93" s="99"/>
      <c r="B93" s="100"/>
      <c r="C93" s="100"/>
      <c r="D93" s="100"/>
      <c r="E93" s="100"/>
      <c r="F93" s="100"/>
      <c r="G93" s="100"/>
      <c r="H93" s="100"/>
      <c r="I93" s="100"/>
      <c r="J93" s="100"/>
      <c r="K93" s="100"/>
      <c r="L93" s="100"/>
      <c r="M93" s="100"/>
      <c r="N93" s="51"/>
      <c r="O93" s="51"/>
      <c r="P93"/>
      <c r="Q93"/>
      <c r="R93"/>
      <c r="S93"/>
    </row>
    <row r="94" spans="1:19" x14ac:dyDescent="0.25">
      <c r="A94" s="99"/>
      <c r="B94" s="100"/>
      <c r="C94" s="100"/>
      <c r="D94" s="100"/>
      <c r="E94" s="100"/>
      <c r="F94" s="100"/>
      <c r="G94" s="100"/>
      <c r="H94" s="100"/>
      <c r="I94" s="100"/>
      <c r="J94" s="100"/>
      <c r="K94" s="100"/>
      <c r="L94" s="100"/>
      <c r="M94" s="100"/>
      <c r="N94" s="51"/>
      <c r="O94" s="51"/>
      <c r="P94"/>
      <c r="Q94"/>
      <c r="R94"/>
      <c r="S94"/>
    </row>
    <row r="95" spans="1:19" x14ac:dyDescent="0.25">
      <c r="A95" s="99"/>
      <c r="B95" s="100"/>
      <c r="C95" s="100"/>
      <c r="D95" s="100"/>
      <c r="E95" s="100"/>
      <c r="F95" s="100"/>
      <c r="G95" s="100"/>
      <c r="H95" s="100"/>
      <c r="I95" s="100"/>
      <c r="J95" s="100"/>
      <c r="K95" s="100"/>
      <c r="L95" s="100"/>
      <c r="M95" s="100"/>
      <c r="N95" s="51"/>
      <c r="O95" s="51"/>
      <c r="P95"/>
      <c r="Q95"/>
      <c r="R95"/>
      <c r="S95"/>
    </row>
    <row r="96" spans="1:19" x14ac:dyDescent="0.25">
      <c r="A96" s="99"/>
      <c r="B96" s="100"/>
      <c r="C96" s="100"/>
      <c r="D96" s="100"/>
      <c r="E96" s="100"/>
      <c r="F96" s="100"/>
      <c r="G96" s="100"/>
      <c r="H96" s="100"/>
      <c r="I96" s="100"/>
      <c r="J96" s="100"/>
      <c r="K96" s="100"/>
      <c r="L96" s="100"/>
      <c r="M96" s="100"/>
      <c r="N96" s="51"/>
      <c r="O96" s="51"/>
      <c r="P96"/>
      <c r="Q96"/>
      <c r="R96"/>
      <c r="S96"/>
    </row>
    <row r="97" spans="1:19" x14ac:dyDescent="0.25">
      <c r="A97" s="99"/>
      <c r="B97" s="100"/>
      <c r="C97" s="100"/>
      <c r="D97" s="100"/>
      <c r="E97" s="100"/>
      <c r="F97" s="100"/>
      <c r="G97" s="100"/>
      <c r="H97" s="100"/>
      <c r="I97" s="100"/>
      <c r="J97" s="100"/>
      <c r="K97" s="100"/>
      <c r="L97" s="100"/>
      <c r="M97" s="100"/>
      <c r="N97" s="51"/>
      <c r="O97" s="51"/>
      <c r="P97"/>
      <c r="Q97"/>
      <c r="R97"/>
      <c r="S97"/>
    </row>
    <row r="98" spans="1:19" x14ac:dyDescent="0.25">
      <c r="A98" s="99"/>
      <c r="B98" s="100"/>
      <c r="C98" s="100"/>
      <c r="D98" s="100"/>
      <c r="E98" s="100"/>
      <c r="F98" s="100"/>
      <c r="G98" s="100"/>
      <c r="H98" s="100"/>
      <c r="I98" s="100"/>
      <c r="J98" s="100"/>
      <c r="K98" s="100"/>
      <c r="L98" s="100"/>
      <c r="M98" s="100"/>
      <c r="N98" s="51"/>
      <c r="O98" s="51"/>
      <c r="P98"/>
      <c r="Q98"/>
      <c r="R98"/>
      <c r="S98"/>
    </row>
    <row r="99" spans="1:19" x14ac:dyDescent="0.25">
      <c r="A99" s="99"/>
      <c r="B99" s="100"/>
      <c r="C99" s="100"/>
      <c r="D99" s="100"/>
      <c r="E99" s="100"/>
      <c r="F99" s="100"/>
      <c r="G99" s="100"/>
      <c r="H99" s="100"/>
      <c r="I99" s="100"/>
      <c r="J99" s="100"/>
      <c r="K99" s="100"/>
      <c r="L99" s="100"/>
      <c r="M99" s="100"/>
      <c r="N99" s="51"/>
      <c r="O99" s="51"/>
      <c r="P99"/>
      <c r="Q99"/>
      <c r="R99"/>
      <c r="S99"/>
    </row>
    <row r="100" spans="1:19" x14ac:dyDescent="0.25">
      <c r="A100" s="99"/>
      <c r="B100" s="100"/>
      <c r="C100" s="100"/>
      <c r="D100" s="100"/>
      <c r="E100" s="100"/>
      <c r="F100" s="100"/>
      <c r="G100" s="100"/>
      <c r="H100" s="100"/>
      <c r="I100" s="100"/>
      <c r="J100" s="100"/>
      <c r="K100" s="100"/>
      <c r="L100" s="100"/>
      <c r="M100" s="100"/>
      <c r="N100" s="51"/>
      <c r="O100" s="51"/>
      <c r="P100"/>
      <c r="Q100"/>
      <c r="R100"/>
      <c r="S100"/>
    </row>
    <row r="101" spans="1:19" x14ac:dyDescent="0.25">
      <c r="A101" s="99"/>
      <c r="B101" s="100"/>
      <c r="C101" s="100"/>
      <c r="D101" s="100"/>
      <c r="E101" s="100"/>
      <c r="F101" s="100"/>
      <c r="G101" s="100"/>
      <c r="H101" s="100"/>
      <c r="I101" s="100"/>
      <c r="J101" s="100"/>
      <c r="K101" s="100"/>
      <c r="L101" s="100"/>
      <c r="M101" s="100"/>
      <c r="N101" s="51"/>
      <c r="O101" s="51"/>
      <c r="P101"/>
      <c r="Q101"/>
      <c r="R101"/>
      <c r="S101"/>
    </row>
    <row r="102" spans="1:19" x14ac:dyDescent="0.25">
      <c r="A102" s="99"/>
      <c r="B102" s="100"/>
      <c r="C102" s="100"/>
      <c r="D102" s="100"/>
      <c r="E102" s="100"/>
      <c r="F102" s="100"/>
      <c r="G102" s="100"/>
      <c r="H102" s="100"/>
      <c r="I102" s="100"/>
      <c r="J102" s="100"/>
      <c r="K102" s="100"/>
      <c r="L102" s="100"/>
      <c r="M102" s="100"/>
      <c r="N102" s="51"/>
      <c r="O102" s="51"/>
      <c r="P102"/>
      <c r="Q102"/>
      <c r="R102"/>
      <c r="S102"/>
    </row>
    <row r="103" spans="1:19" x14ac:dyDescent="0.25">
      <c r="A103" s="99"/>
      <c r="B103" s="100"/>
      <c r="C103" s="100"/>
      <c r="D103" s="100"/>
      <c r="E103" s="100"/>
      <c r="F103" s="100"/>
      <c r="G103" s="100"/>
      <c r="H103" s="100"/>
      <c r="I103" s="100"/>
      <c r="J103" s="100"/>
      <c r="K103" s="100"/>
      <c r="L103" s="100"/>
      <c r="M103" s="100"/>
      <c r="N103" s="51"/>
      <c r="O103" s="51"/>
      <c r="P103"/>
      <c r="Q103"/>
      <c r="R103"/>
      <c r="S103"/>
    </row>
    <row r="104" spans="1:19" x14ac:dyDescent="0.25">
      <c r="A104" s="99"/>
      <c r="B104" s="100"/>
      <c r="C104" s="100"/>
      <c r="D104" s="100"/>
      <c r="E104" s="100"/>
      <c r="F104" s="100"/>
      <c r="G104" s="100"/>
      <c r="H104" s="100"/>
      <c r="I104" s="100"/>
      <c r="J104" s="100"/>
      <c r="K104" s="100"/>
      <c r="L104" s="100"/>
      <c r="M104" s="100"/>
      <c r="N104" s="51"/>
      <c r="O104" s="51"/>
      <c r="P104"/>
      <c r="Q104"/>
      <c r="R104"/>
      <c r="S104"/>
    </row>
    <row r="105" spans="1:19" x14ac:dyDescent="0.25">
      <c r="A105" s="99"/>
      <c r="B105" s="100"/>
      <c r="C105" s="100"/>
      <c r="D105" s="100"/>
      <c r="E105" s="100"/>
      <c r="F105" s="100"/>
      <c r="G105" s="100"/>
      <c r="H105" s="100"/>
      <c r="I105" s="100"/>
      <c r="J105" s="100"/>
      <c r="K105" s="100"/>
      <c r="L105" s="100"/>
      <c r="M105" s="100"/>
      <c r="N105" s="51"/>
      <c r="O105" s="51"/>
      <c r="P105"/>
      <c r="Q105"/>
      <c r="R105"/>
      <c r="S105"/>
    </row>
    <row r="106" spans="1:19" x14ac:dyDescent="0.25">
      <c r="A106" s="99"/>
      <c r="B106" s="100"/>
      <c r="C106" s="100"/>
      <c r="D106" s="100"/>
      <c r="E106" s="100"/>
      <c r="F106" s="100"/>
      <c r="G106" s="100"/>
      <c r="H106" s="100"/>
      <c r="I106" s="100"/>
      <c r="J106" s="100"/>
      <c r="K106" s="100"/>
      <c r="L106" s="100"/>
      <c r="M106" s="100"/>
      <c r="N106" s="51"/>
      <c r="O106" s="51"/>
      <c r="P106"/>
      <c r="Q106"/>
      <c r="R106"/>
      <c r="S106"/>
    </row>
    <row r="107" spans="1:19" x14ac:dyDescent="0.25">
      <c r="A107" s="99"/>
      <c r="B107" s="100"/>
      <c r="C107" s="100"/>
      <c r="D107" s="100"/>
      <c r="E107" s="100"/>
      <c r="F107" s="100"/>
      <c r="G107" s="100"/>
      <c r="H107" s="100"/>
      <c r="I107" s="100"/>
      <c r="J107" s="100"/>
      <c r="K107" s="100"/>
      <c r="L107" s="100"/>
      <c r="M107" s="100"/>
      <c r="N107" s="51"/>
      <c r="O107" s="51"/>
      <c r="P107"/>
      <c r="Q107"/>
      <c r="R107"/>
      <c r="S107"/>
    </row>
    <row r="108" spans="1:19" x14ac:dyDescent="0.25">
      <c r="A108" s="99"/>
      <c r="B108" s="100"/>
      <c r="C108" s="100"/>
      <c r="D108" s="100"/>
      <c r="E108" s="100"/>
      <c r="F108" s="100"/>
      <c r="G108" s="100"/>
      <c r="H108" s="100"/>
      <c r="I108" s="100"/>
      <c r="J108" s="100"/>
      <c r="K108" s="100"/>
      <c r="L108" s="100"/>
      <c r="M108" s="100"/>
      <c r="N108" s="51"/>
      <c r="O108" s="51"/>
      <c r="P108"/>
      <c r="Q108"/>
      <c r="R108"/>
      <c r="S108"/>
    </row>
    <row r="109" spans="1:19" x14ac:dyDescent="0.25">
      <c r="A109" s="99"/>
      <c r="B109" s="100"/>
      <c r="C109" s="100"/>
      <c r="D109" s="100"/>
      <c r="E109" s="100"/>
      <c r="F109" s="102"/>
      <c r="G109" s="100"/>
      <c r="H109" s="100"/>
      <c r="I109" s="100"/>
      <c r="J109" s="102"/>
      <c r="K109" s="100"/>
      <c r="L109" s="100"/>
      <c r="M109" s="100"/>
      <c r="N109" s="51"/>
      <c r="O109" s="51"/>
      <c r="P109"/>
      <c r="Q109"/>
      <c r="R109"/>
      <c r="S109"/>
    </row>
    <row r="110" spans="1:19" x14ac:dyDescent="0.25">
      <c r="A110" s="99"/>
      <c r="B110" s="100"/>
      <c r="C110" s="100"/>
      <c r="D110" s="100"/>
      <c r="E110" s="100"/>
      <c r="F110" s="100"/>
      <c r="G110" s="100"/>
      <c r="H110" s="100"/>
      <c r="I110" s="100"/>
      <c r="J110" s="100"/>
      <c r="K110" s="100"/>
      <c r="L110" s="100"/>
      <c r="M110" s="100"/>
      <c r="N110" s="51"/>
      <c r="O110" s="51"/>
      <c r="P110"/>
      <c r="Q110"/>
      <c r="R110"/>
      <c r="S110"/>
    </row>
    <row r="111" spans="1:19" x14ac:dyDescent="0.25">
      <c r="A111" s="99"/>
      <c r="B111" s="100"/>
      <c r="C111" s="100"/>
      <c r="D111" s="100"/>
      <c r="E111" s="100"/>
      <c r="F111" s="100"/>
      <c r="G111" s="100"/>
      <c r="H111" s="100"/>
      <c r="I111" s="100"/>
      <c r="J111" s="100"/>
      <c r="K111" s="100"/>
      <c r="L111" s="100"/>
      <c r="M111" s="100"/>
      <c r="N111" s="51"/>
      <c r="O111" s="51"/>
      <c r="P111"/>
      <c r="Q111"/>
      <c r="R111"/>
      <c r="S111"/>
    </row>
    <row r="112" spans="1:19" x14ac:dyDescent="0.25">
      <c r="A112" s="99"/>
      <c r="B112" s="100"/>
      <c r="C112" s="100"/>
      <c r="D112" s="100"/>
      <c r="E112" s="100"/>
      <c r="F112" s="100"/>
      <c r="G112" s="100"/>
      <c r="H112" s="100"/>
      <c r="I112" s="100"/>
      <c r="J112" s="100"/>
      <c r="K112" s="100"/>
      <c r="L112" s="100"/>
      <c r="M112" s="100"/>
      <c r="N112" s="51"/>
      <c r="O112" s="51"/>
      <c r="P112"/>
      <c r="Q112"/>
      <c r="R112"/>
      <c r="S112"/>
    </row>
    <row r="113" spans="1:19" x14ac:dyDescent="0.25">
      <c r="A113" s="99"/>
      <c r="B113" s="100"/>
      <c r="C113" s="100"/>
      <c r="D113" s="100"/>
      <c r="E113" s="100"/>
      <c r="F113" s="100"/>
      <c r="G113" s="100"/>
      <c r="H113" s="100"/>
      <c r="I113" s="100"/>
      <c r="J113" s="100"/>
      <c r="K113" s="100"/>
      <c r="L113" s="100"/>
      <c r="M113" s="100"/>
      <c r="N113" s="51"/>
      <c r="O113" s="51"/>
      <c r="P113"/>
      <c r="Q113"/>
      <c r="R113"/>
      <c r="S113"/>
    </row>
    <row r="114" spans="1:19" x14ac:dyDescent="0.25">
      <c r="A114" s="99"/>
      <c r="B114" s="100"/>
      <c r="C114" s="100"/>
      <c r="D114" s="100"/>
      <c r="E114" s="100"/>
      <c r="F114" s="100"/>
      <c r="G114" s="100"/>
      <c r="H114" s="100"/>
      <c r="I114" s="100"/>
      <c r="J114" s="100"/>
      <c r="K114" s="100"/>
      <c r="L114" s="100"/>
      <c r="M114" s="100"/>
      <c r="N114" s="51"/>
      <c r="O114" s="51"/>
      <c r="P114"/>
      <c r="Q114"/>
      <c r="R114"/>
      <c r="S114"/>
    </row>
    <row r="115" spans="1:19" x14ac:dyDescent="0.25">
      <c r="A115" s="99"/>
      <c r="B115" s="100"/>
      <c r="C115" s="100"/>
      <c r="D115" s="100"/>
      <c r="E115" s="100"/>
      <c r="F115" s="100"/>
      <c r="G115" s="100"/>
      <c r="H115" s="100"/>
      <c r="I115" s="100"/>
      <c r="J115" s="100"/>
      <c r="K115" s="100"/>
      <c r="L115" s="100"/>
      <c r="M115" s="100"/>
      <c r="N115" s="51"/>
      <c r="O115" s="51"/>
      <c r="P115"/>
      <c r="Q115"/>
      <c r="R115"/>
      <c r="S115"/>
    </row>
    <row r="116" spans="1:19" x14ac:dyDescent="0.25">
      <c r="A116" s="99"/>
      <c r="B116" s="100"/>
      <c r="C116" s="100"/>
      <c r="D116" s="100"/>
      <c r="E116" s="100"/>
      <c r="F116" s="100"/>
      <c r="G116" s="100"/>
      <c r="H116" s="100"/>
      <c r="I116" s="100"/>
      <c r="J116" s="100"/>
      <c r="K116" s="100"/>
      <c r="L116" s="100"/>
      <c r="M116" s="100"/>
      <c r="N116" s="51"/>
      <c r="O116" s="51"/>
      <c r="P116"/>
      <c r="Q116"/>
      <c r="R116"/>
      <c r="S116"/>
    </row>
    <row r="117" spans="1:19" x14ac:dyDescent="0.25">
      <c r="A117" s="99"/>
      <c r="B117" s="100"/>
      <c r="C117" s="100"/>
      <c r="D117" s="100"/>
      <c r="E117" s="100"/>
      <c r="F117" s="100"/>
      <c r="G117" s="100"/>
      <c r="H117" s="100"/>
      <c r="I117" s="100"/>
      <c r="J117" s="100"/>
      <c r="K117" s="100"/>
      <c r="L117" s="100"/>
      <c r="M117" s="100"/>
      <c r="N117" s="51"/>
      <c r="O117" s="51"/>
      <c r="P117"/>
      <c r="Q117"/>
      <c r="R117"/>
      <c r="S117"/>
    </row>
    <row r="118" spans="1:19" x14ac:dyDescent="0.25">
      <c r="A118" s="99"/>
      <c r="B118" s="100"/>
      <c r="C118" s="100"/>
      <c r="D118" s="100"/>
      <c r="E118" s="100"/>
      <c r="F118" s="100"/>
      <c r="G118" s="100"/>
      <c r="H118" s="100"/>
      <c r="I118" s="100"/>
      <c r="J118" s="100"/>
      <c r="K118" s="100"/>
      <c r="L118" s="100"/>
      <c r="M118" s="100"/>
      <c r="N118" s="51"/>
      <c r="O118" s="51"/>
      <c r="P118"/>
      <c r="Q118"/>
      <c r="R118"/>
      <c r="S118"/>
    </row>
    <row r="119" spans="1:19" x14ac:dyDescent="0.25">
      <c r="A119" s="99"/>
      <c r="B119" s="100"/>
      <c r="C119" s="100"/>
      <c r="D119" s="100"/>
      <c r="E119" s="100"/>
      <c r="F119" s="103"/>
      <c r="G119" s="100"/>
      <c r="H119" s="100"/>
      <c r="I119" s="100"/>
      <c r="J119" s="100"/>
      <c r="K119" s="100"/>
      <c r="L119" s="100"/>
      <c r="M119" s="100"/>
      <c r="N119" s="51"/>
      <c r="O119" s="51"/>
      <c r="P119"/>
      <c r="Q119"/>
      <c r="R119"/>
      <c r="S119"/>
    </row>
    <row r="120" spans="1:19" x14ac:dyDescent="0.25">
      <c r="A120" s="99"/>
      <c r="B120" s="100"/>
      <c r="C120" s="100"/>
      <c r="D120" s="100"/>
      <c r="E120" s="100"/>
      <c r="F120" s="100"/>
      <c r="G120" s="100"/>
      <c r="H120" s="100"/>
      <c r="I120" s="100"/>
      <c r="J120" s="100"/>
      <c r="K120" s="100"/>
      <c r="L120" s="100"/>
      <c r="M120" s="100"/>
      <c r="N120" s="51"/>
      <c r="O120" s="51"/>
      <c r="P120"/>
      <c r="Q120"/>
      <c r="R120"/>
      <c r="S120"/>
    </row>
    <row r="121" spans="1:19" x14ac:dyDescent="0.25">
      <c r="A121" s="99"/>
      <c r="B121" s="100"/>
      <c r="C121" s="100"/>
      <c r="D121" s="100"/>
      <c r="E121" s="100"/>
      <c r="F121" s="100"/>
      <c r="G121" s="100"/>
      <c r="H121" s="100"/>
      <c r="I121" s="100"/>
      <c r="J121" s="100"/>
      <c r="K121" s="100"/>
      <c r="L121" s="100"/>
      <c r="M121" s="100"/>
      <c r="N121" s="51"/>
      <c r="O121" s="51"/>
      <c r="P121"/>
      <c r="Q121"/>
      <c r="R121"/>
      <c r="S121"/>
    </row>
    <row r="122" spans="1:19" x14ac:dyDescent="0.25">
      <c r="A122" s="99"/>
      <c r="B122" s="100"/>
      <c r="C122" s="100"/>
      <c r="D122" s="100"/>
      <c r="E122" s="100"/>
      <c r="F122" s="100"/>
      <c r="G122" s="100"/>
      <c r="H122" s="100"/>
      <c r="I122" s="100"/>
      <c r="J122" s="100"/>
      <c r="K122" s="100"/>
      <c r="L122" s="100"/>
      <c r="M122" s="100"/>
      <c r="N122" s="51"/>
      <c r="O122" s="51"/>
      <c r="P122"/>
      <c r="Q122"/>
      <c r="R122"/>
      <c r="S122"/>
    </row>
    <row r="123" spans="1:19" x14ac:dyDescent="0.25">
      <c r="A123" s="99"/>
      <c r="B123" s="100"/>
      <c r="C123" s="100"/>
      <c r="D123" s="100"/>
      <c r="E123" s="100"/>
      <c r="F123" s="100"/>
      <c r="G123" s="100"/>
      <c r="H123" s="100"/>
      <c r="I123" s="100"/>
      <c r="J123" s="100"/>
      <c r="K123" s="100"/>
      <c r="L123" s="100"/>
      <c r="M123" s="100"/>
      <c r="N123" s="51"/>
      <c r="O123" s="51"/>
      <c r="P123"/>
      <c r="Q123"/>
      <c r="R123"/>
      <c r="S123"/>
    </row>
    <row r="124" spans="1:19" x14ac:dyDescent="0.25">
      <c r="A124" s="99"/>
      <c r="B124" s="100"/>
      <c r="C124" s="100"/>
      <c r="D124" s="100"/>
      <c r="E124" s="100"/>
      <c r="F124" s="100"/>
      <c r="G124" s="100"/>
      <c r="H124" s="100"/>
      <c r="I124" s="100"/>
      <c r="J124" s="100"/>
      <c r="K124" s="100"/>
      <c r="L124" s="100"/>
      <c r="M124" s="100"/>
      <c r="N124" s="51"/>
      <c r="O124" s="51"/>
      <c r="P124"/>
      <c r="Q124"/>
      <c r="R124"/>
      <c r="S124"/>
    </row>
    <row r="125" spans="1:19" x14ac:dyDescent="0.25">
      <c r="A125" s="99"/>
      <c r="B125" s="100"/>
      <c r="C125" s="100"/>
      <c r="D125" s="100"/>
      <c r="E125" s="100"/>
      <c r="F125" s="104"/>
      <c r="G125" s="100"/>
      <c r="H125" s="100"/>
      <c r="I125" s="100"/>
      <c r="J125" s="100"/>
      <c r="K125" s="100"/>
      <c r="L125" s="100"/>
      <c r="M125" s="100"/>
      <c r="N125" s="51"/>
      <c r="O125" s="51"/>
      <c r="P125"/>
      <c r="Q125"/>
      <c r="R125"/>
      <c r="S125"/>
    </row>
    <row r="126" spans="1:19" x14ac:dyDescent="0.25">
      <c r="A126" s="99"/>
      <c r="B126" s="100"/>
      <c r="C126" s="100"/>
      <c r="D126" s="100"/>
      <c r="E126" s="100"/>
      <c r="F126" s="104"/>
      <c r="G126" s="100"/>
      <c r="H126" s="100"/>
      <c r="I126" s="100"/>
      <c r="J126" s="100"/>
      <c r="K126" s="100"/>
      <c r="L126" s="100"/>
      <c r="M126" s="100"/>
      <c r="N126" s="51"/>
      <c r="O126" s="51"/>
      <c r="P126"/>
      <c r="Q126"/>
      <c r="R126"/>
      <c r="S126"/>
    </row>
    <row r="127" spans="1:19" x14ac:dyDescent="0.25">
      <c r="A127" s="99"/>
      <c r="B127" s="100"/>
      <c r="C127" s="100"/>
      <c r="D127" s="100"/>
      <c r="E127" s="100"/>
      <c r="F127" s="104"/>
      <c r="G127" s="100"/>
      <c r="H127" s="100"/>
      <c r="I127" s="100"/>
      <c r="J127" s="100"/>
      <c r="K127" s="100"/>
      <c r="L127" s="100"/>
      <c r="M127" s="100"/>
      <c r="N127" s="51"/>
      <c r="O127" s="51"/>
      <c r="P127"/>
      <c r="Q127"/>
      <c r="R127"/>
      <c r="S127"/>
    </row>
    <row r="128" spans="1:19" x14ac:dyDescent="0.25">
      <c r="A128" s="99"/>
      <c r="B128" s="100"/>
      <c r="C128" s="100"/>
      <c r="D128" s="100"/>
      <c r="E128" s="100"/>
      <c r="F128" s="104"/>
      <c r="G128" s="100"/>
      <c r="H128" s="100"/>
      <c r="I128" s="100"/>
      <c r="J128" s="100"/>
      <c r="K128" s="100"/>
      <c r="L128" s="100"/>
      <c r="M128" s="100"/>
      <c r="N128" s="51"/>
      <c r="O128" s="51"/>
      <c r="P128"/>
      <c r="Q128"/>
      <c r="R128"/>
      <c r="S128"/>
    </row>
    <row r="129" spans="1:19" x14ac:dyDescent="0.25">
      <c r="A129" s="99"/>
      <c r="B129" s="100"/>
      <c r="C129" s="100"/>
      <c r="D129" s="100"/>
      <c r="E129" s="100"/>
      <c r="F129" s="104"/>
      <c r="G129" s="100"/>
      <c r="H129" s="100"/>
      <c r="I129" s="100"/>
      <c r="J129" s="100"/>
      <c r="K129" s="100"/>
      <c r="L129" s="100"/>
      <c r="M129" s="100"/>
      <c r="N129" s="51"/>
      <c r="O129" s="51"/>
      <c r="P129"/>
      <c r="Q129"/>
      <c r="R129"/>
      <c r="S129"/>
    </row>
    <row r="130" spans="1:19" x14ac:dyDescent="0.25">
      <c r="A130" s="99"/>
      <c r="B130" s="105"/>
      <c r="C130" s="105"/>
      <c r="D130" s="106"/>
      <c r="E130" s="107"/>
      <c r="F130" s="104"/>
      <c r="G130" s="100"/>
      <c r="H130" s="100"/>
      <c r="I130" s="100"/>
      <c r="J130" s="100"/>
      <c r="K130" s="100"/>
      <c r="L130" s="100"/>
      <c r="M130" s="100"/>
      <c r="N130" s="51"/>
      <c r="O130" s="51"/>
      <c r="P130"/>
      <c r="Q130"/>
      <c r="R130"/>
      <c r="S130"/>
    </row>
    <row r="131" spans="1:19" x14ac:dyDescent="0.25">
      <c r="A131" s="99"/>
      <c r="B131" s="105"/>
      <c r="C131" s="105"/>
      <c r="D131" s="106"/>
      <c r="E131" s="107"/>
      <c r="F131" s="104"/>
      <c r="G131" s="100"/>
      <c r="H131" s="100"/>
      <c r="I131" s="100"/>
      <c r="J131" s="100"/>
      <c r="K131" s="100"/>
      <c r="L131" s="100"/>
      <c r="M131" s="100"/>
      <c r="N131" s="51"/>
      <c r="O131" s="51"/>
      <c r="P131"/>
      <c r="Q131"/>
      <c r="R131"/>
      <c r="S131"/>
    </row>
    <row r="132" spans="1:19" x14ac:dyDescent="0.25">
      <c r="A132" s="99"/>
      <c r="B132" s="105"/>
      <c r="C132" s="105"/>
      <c r="D132" s="106"/>
      <c r="E132" s="107"/>
      <c r="F132" s="104"/>
      <c r="G132" s="100"/>
      <c r="H132" s="100"/>
      <c r="I132" s="100"/>
      <c r="J132" s="100"/>
      <c r="K132" s="100"/>
      <c r="L132" s="100"/>
      <c r="M132" s="100"/>
      <c r="N132" s="51"/>
      <c r="O132" s="51"/>
      <c r="P132"/>
      <c r="Q132"/>
      <c r="R132"/>
      <c r="S132"/>
    </row>
    <row r="133" spans="1:19" x14ac:dyDescent="0.25">
      <c r="A133" s="99"/>
      <c r="B133" s="105"/>
      <c r="C133" s="105"/>
      <c r="D133" s="106"/>
      <c r="E133" s="107"/>
      <c r="F133" s="104"/>
      <c r="G133" s="100"/>
      <c r="H133" s="100"/>
      <c r="I133" s="100"/>
      <c r="J133" s="100"/>
      <c r="K133" s="100"/>
      <c r="L133" s="100"/>
      <c r="M133" s="100"/>
      <c r="N133" s="51"/>
      <c r="O133" s="51"/>
      <c r="P133"/>
      <c r="Q133"/>
      <c r="R133"/>
      <c r="S133"/>
    </row>
    <row r="134" spans="1:19" x14ac:dyDescent="0.25">
      <c r="A134" s="99"/>
      <c r="B134" s="105"/>
      <c r="C134" s="105"/>
      <c r="D134" s="106"/>
      <c r="E134" s="107"/>
      <c r="F134" s="104"/>
      <c r="G134" s="100"/>
      <c r="H134" s="100"/>
      <c r="I134" s="100"/>
      <c r="J134" s="100"/>
      <c r="K134" s="100"/>
      <c r="L134" s="100"/>
      <c r="M134" s="100"/>
      <c r="N134" s="51"/>
      <c r="O134" s="51"/>
      <c r="P134"/>
      <c r="Q134"/>
      <c r="R134"/>
      <c r="S134"/>
    </row>
    <row r="135" spans="1:19" x14ac:dyDescent="0.25">
      <c r="A135" s="99"/>
      <c r="B135" s="105"/>
      <c r="C135" s="105"/>
      <c r="D135" s="106"/>
      <c r="E135" s="107"/>
      <c r="F135" s="104"/>
      <c r="G135" s="100"/>
      <c r="H135" s="100"/>
      <c r="I135" s="100"/>
      <c r="J135" s="100"/>
      <c r="K135" s="100"/>
      <c r="L135" s="100"/>
      <c r="M135" s="100"/>
      <c r="N135" s="51"/>
      <c r="O135" s="51"/>
      <c r="P135"/>
      <c r="Q135"/>
      <c r="R135"/>
      <c r="S135"/>
    </row>
    <row r="136" spans="1:19" x14ac:dyDescent="0.25">
      <c r="A136" s="99"/>
      <c r="B136" s="100"/>
      <c r="C136" s="100"/>
      <c r="D136" s="100"/>
      <c r="E136" s="101"/>
      <c r="F136" s="104"/>
      <c r="G136" s="100"/>
      <c r="H136" s="100"/>
      <c r="I136" s="100"/>
      <c r="J136" s="100"/>
      <c r="K136" s="100"/>
      <c r="L136" s="100"/>
      <c r="M136" s="100"/>
      <c r="N136" s="51"/>
      <c r="O136" s="51"/>
      <c r="P136"/>
      <c r="Q136"/>
      <c r="R136"/>
      <c r="S136"/>
    </row>
    <row r="137" spans="1:19" x14ac:dyDescent="0.25">
      <c r="A137" s="99"/>
      <c r="B137" s="100"/>
      <c r="C137" s="100"/>
      <c r="D137" s="100"/>
      <c r="E137" s="101"/>
      <c r="F137" s="104"/>
      <c r="G137" s="100"/>
      <c r="H137" s="100"/>
      <c r="I137" s="100"/>
      <c r="J137" s="100"/>
      <c r="K137" s="100"/>
      <c r="L137" s="100"/>
      <c r="M137" s="100"/>
      <c r="N137" s="51"/>
      <c r="O137" s="51"/>
      <c r="P137"/>
      <c r="Q137"/>
      <c r="R137"/>
      <c r="S137"/>
    </row>
    <row r="138" spans="1:19" x14ac:dyDescent="0.25">
      <c r="A138" s="99"/>
      <c r="B138" s="100"/>
      <c r="C138" s="100"/>
      <c r="D138" s="100"/>
      <c r="E138" s="101"/>
      <c r="F138" s="104"/>
      <c r="G138" s="100"/>
      <c r="H138" s="100"/>
      <c r="I138" s="100"/>
      <c r="J138" s="100"/>
      <c r="K138" s="100"/>
      <c r="L138" s="100"/>
      <c r="M138" s="100"/>
      <c r="N138" s="51"/>
      <c r="O138" s="51"/>
      <c r="P138"/>
      <c r="Q138"/>
      <c r="R138"/>
      <c r="S138"/>
    </row>
    <row r="139" spans="1:19" x14ac:dyDescent="0.25">
      <c r="A139" s="99"/>
      <c r="B139" s="100"/>
      <c r="C139" s="100"/>
      <c r="D139" s="100"/>
      <c r="E139" s="101"/>
      <c r="F139" s="104"/>
      <c r="G139" s="100"/>
      <c r="H139" s="100"/>
      <c r="I139" s="100"/>
      <c r="J139" s="100"/>
      <c r="K139" s="100"/>
      <c r="L139" s="100"/>
      <c r="M139" s="100"/>
      <c r="N139" s="51"/>
      <c r="O139" s="51"/>
      <c r="P139"/>
      <c r="Q139"/>
      <c r="R139"/>
      <c r="S139"/>
    </row>
    <row r="140" spans="1:19" x14ac:dyDescent="0.25">
      <c r="A140" s="99"/>
      <c r="B140" s="100"/>
      <c r="C140" s="100"/>
      <c r="D140" s="100"/>
      <c r="E140" s="101"/>
      <c r="F140" s="104"/>
      <c r="G140" s="100"/>
      <c r="H140" s="100"/>
      <c r="I140" s="100"/>
      <c r="J140" s="100"/>
      <c r="K140" s="100"/>
      <c r="L140" s="100"/>
      <c r="M140" s="100"/>
      <c r="N140" s="51"/>
      <c r="O140" s="51"/>
      <c r="P140"/>
      <c r="Q140"/>
      <c r="R140"/>
      <c r="S140"/>
    </row>
    <row r="141" spans="1:19" x14ac:dyDescent="0.25">
      <c r="A141" s="99"/>
      <c r="B141" s="100"/>
      <c r="C141" s="100"/>
      <c r="D141" s="100"/>
      <c r="E141" s="101"/>
      <c r="F141" s="104"/>
      <c r="G141" s="100"/>
      <c r="H141" s="100"/>
      <c r="I141" s="100"/>
      <c r="J141" s="100"/>
      <c r="K141" s="100"/>
      <c r="L141" s="100"/>
      <c r="M141" s="100"/>
      <c r="N141" s="51"/>
      <c r="O141" s="51"/>
      <c r="P141"/>
      <c r="Q141"/>
      <c r="R141"/>
      <c r="S141"/>
    </row>
    <row r="142" spans="1:19" x14ac:dyDescent="0.25">
      <c r="A142" s="99"/>
      <c r="B142" s="100"/>
      <c r="C142" s="100"/>
      <c r="D142" s="100"/>
      <c r="E142" s="101"/>
      <c r="F142" s="104"/>
      <c r="G142" s="100"/>
      <c r="H142" s="100"/>
      <c r="I142" s="100"/>
      <c r="J142" s="100"/>
      <c r="K142" s="100"/>
      <c r="L142" s="100"/>
      <c r="M142" s="100"/>
      <c r="N142" s="51"/>
      <c r="O142" s="51"/>
      <c r="P142"/>
      <c r="Q142"/>
      <c r="R142"/>
      <c r="S142"/>
    </row>
    <row r="143" spans="1:19" x14ac:dyDescent="0.25">
      <c r="A143" s="99"/>
      <c r="B143" s="100"/>
      <c r="C143" s="100"/>
      <c r="D143" s="100"/>
      <c r="E143" s="101"/>
      <c r="F143" s="104"/>
      <c r="G143" s="100"/>
      <c r="H143" s="100"/>
      <c r="I143" s="100"/>
      <c r="J143" s="100"/>
      <c r="K143" s="100"/>
      <c r="L143" s="100"/>
      <c r="M143" s="100"/>
      <c r="N143" s="51"/>
      <c r="O143" s="51"/>
      <c r="P143"/>
      <c r="Q143"/>
      <c r="R143"/>
      <c r="S143"/>
    </row>
    <row r="144" spans="1:19" x14ac:dyDescent="0.25">
      <c r="A144" s="99"/>
      <c r="E144" s="101"/>
      <c r="F144" s="104"/>
      <c r="G144" s="100"/>
      <c r="H144" s="100"/>
      <c r="I144" s="100"/>
      <c r="J144" s="100"/>
      <c r="K144" s="100"/>
      <c r="L144" s="100"/>
      <c r="M144" s="100"/>
      <c r="N144" s="51"/>
      <c r="O144" s="51"/>
      <c r="P144"/>
      <c r="Q144"/>
      <c r="R144"/>
      <c r="S144"/>
    </row>
    <row r="145" spans="1:19" x14ac:dyDescent="0.25">
      <c r="A145" s="99"/>
      <c r="E145" s="101"/>
      <c r="F145" s="104"/>
      <c r="G145" s="100"/>
      <c r="H145" s="100"/>
      <c r="I145" s="100"/>
      <c r="J145" s="100"/>
      <c r="K145" s="100"/>
      <c r="L145" s="100"/>
      <c r="M145" s="100"/>
      <c r="N145" s="51"/>
      <c r="O145" s="51"/>
      <c r="P145"/>
      <c r="Q145"/>
      <c r="R145"/>
      <c r="S145"/>
    </row>
    <row r="146" spans="1:19" x14ac:dyDescent="0.25">
      <c r="A146" s="99"/>
      <c r="E146" s="101"/>
      <c r="F146" s="104"/>
      <c r="G146" s="100"/>
      <c r="H146" s="100"/>
      <c r="I146" s="100"/>
      <c r="J146" s="100"/>
      <c r="K146" s="100"/>
      <c r="L146" s="100"/>
      <c r="M146" s="100"/>
      <c r="N146" s="51"/>
      <c r="O146" s="51"/>
      <c r="P146"/>
      <c r="Q146"/>
      <c r="R146"/>
      <c r="S146"/>
    </row>
    <row r="147" spans="1:19" x14ac:dyDescent="0.25">
      <c r="A147" s="99"/>
      <c r="E147" s="101"/>
      <c r="F147" s="104"/>
      <c r="G147" s="100"/>
      <c r="H147" s="100"/>
      <c r="I147" s="100"/>
      <c r="J147" s="100"/>
      <c r="K147" s="100"/>
      <c r="L147" s="100"/>
      <c r="M147" s="100"/>
      <c r="N147" s="51"/>
      <c r="O147" s="51"/>
      <c r="P147"/>
      <c r="Q147"/>
      <c r="R147"/>
      <c r="S147"/>
    </row>
    <row r="148" spans="1:19" x14ac:dyDescent="0.25">
      <c r="A148" s="99"/>
      <c r="E148" s="101"/>
      <c r="F148" s="100"/>
      <c r="G148" s="100"/>
      <c r="H148" s="100"/>
      <c r="I148" s="100"/>
      <c r="J148" s="100"/>
      <c r="K148" s="100"/>
      <c r="L148" s="100"/>
      <c r="M148" s="100"/>
      <c r="N148" s="51"/>
      <c r="O148" s="51"/>
      <c r="P148"/>
      <c r="Q148"/>
      <c r="R148"/>
      <c r="S148"/>
    </row>
    <row r="149" spans="1:19" x14ac:dyDescent="0.25">
      <c r="A149" s="99"/>
      <c r="E149" s="101"/>
      <c r="F149" s="100"/>
      <c r="G149" s="100"/>
      <c r="H149" s="100"/>
      <c r="I149" s="100"/>
      <c r="J149" s="100"/>
      <c r="K149" s="100"/>
      <c r="L149" s="100"/>
      <c r="M149" s="100"/>
      <c r="N149" s="51"/>
      <c r="O149" s="51"/>
      <c r="P149"/>
      <c r="Q149"/>
      <c r="R149"/>
      <c r="S149"/>
    </row>
    <row r="150" spans="1:19" x14ac:dyDescent="0.25">
      <c r="A150" s="99"/>
      <c r="E150" s="101"/>
      <c r="F150" s="100"/>
      <c r="G150" s="100"/>
      <c r="H150" s="100"/>
      <c r="I150" s="100"/>
      <c r="J150" s="100"/>
      <c r="K150" s="100"/>
      <c r="L150" s="100"/>
      <c r="M150" s="100"/>
      <c r="N150" s="51"/>
      <c r="O150" s="51"/>
      <c r="P150"/>
      <c r="Q150"/>
      <c r="R150"/>
      <c r="S150"/>
    </row>
    <row r="151" spans="1:19" x14ac:dyDescent="0.25">
      <c r="A151" s="99"/>
      <c r="E151" s="101"/>
      <c r="F151" s="100"/>
      <c r="G151" s="100"/>
      <c r="H151" s="100"/>
      <c r="I151" s="100"/>
      <c r="J151" s="100"/>
      <c r="K151" s="100"/>
      <c r="L151" s="100"/>
      <c r="M151" s="100"/>
      <c r="N151" s="51"/>
      <c r="O151" s="51"/>
      <c r="P151"/>
      <c r="Q151"/>
      <c r="R151"/>
      <c r="S151"/>
    </row>
    <row r="152" spans="1:19" x14ac:dyDescent="0.25">
      <c r="A152" s="99"/>
      <c r="E152" s="101"/>
      <c r="F152" s="100"/>
      <c r="G152" s="100"/>
      <c r="H152" s="100"/>
      <c r="I152" s="100"/>
      <c r="J152" s="100"/>
      <c r="K152" s="100"/>
      <c r="L152" s="100"/>
      <c r="M152" s="100"/>
      <c r="N152" s="51"/>
      <c r="O152" s="51"/>
      <c r="P152"/>
      <c r="Q152"/>
      <c r="R152"/>
      <c r="S152"/>
    </row>
    <row r="153" spans="1:19" x14ac:dyDescent="0.25">
      <c r="A153" s="99"/>
      <c r="E153" s="101"/>
      <c r="F153" s="100"/>
      <c r="G153" s="100"/>
      <c r="H153" s="100"/>
      <c r="I153" s="100"/>
      <c r="J153" s="100"/>
      <c r="K153" s="100"/>
      <c r="L153" s="100"/>
      <c r="M153" s="100"/>
      <c r="N153" s="51"/>
      <c r="O153" s="51"/>
      <c r="P153"/>
      <c r="Q153"/>
      <c r="R153"/>
      <c r="S153"/>
    </row>
    <row r="154" spans="1:19" x14ac:dyDescent="0.25">
      <c r="A154" s="99"/>
      <c r="E154" s="101"/>
      <c r="F154" s="100"/>
      <c r="G154" s="100"/>
      <c r="H154" s="100"/>
      <c r="I154" s="100"/>
      <c r="J154" s="100"/>
      <c r="K154" s="100"/>
      <c r="L154" s="100"/>
      <c r="M154" s="100"/>
      <c r="N154" s="51"/>
      <c r="O154" s="51"/>
      <c r="P154"/>
      <c r="Q154"/>
      <c r="R154"/>
      <c r="S154"/>
    </row>
    <row r="155" spans="1:19" x14ac:dyDescent="0.25">
      <c r="A155" s="99"/>
      <c r="E155" s="101"/>
      <c r="F155" s="100"/>
      <c r="G155" s="100"/>
      <c r="H155" s="100"/>
      <c r="I155" s="100"/>
      <c r="J155" s="100"/>
      <c r="K155" s="100"/>
      <c r="L155" s="100"/>
      <c r="M155" s="100"/>
      <c r="N155" s="51"/>
      <c r="O155" s="51"/>
      <c r="P155"/>
      <c r="Q155"/>
      <c r="R155"/>
      <c r="S155"/>
    </row>
    <row r="156" spans="1:19" x14ac:dyDescent="0.25">
      <c r="A156" s="99"/>
      <c r="E156" s="101"/>
      <c r="F156" s="100"/>
      <c r="G156" s="100"/>
      <c r="H156" s="100"/>
      <c r="I156" s="100"/>
      <c r="J156" s="100"/>
      <c r="K156" s="100"/>
      <c r="L156" s="100"/>
      <c r="M156" s="100"/>
      <c r="N156" s="51"/>
      <c r="O156" s="51"/>
      <c r="P156"/>
      <c r="Q156"/>
      <c r="R156"/>
      <c r="S156"/>
    </row>
    <row r="157" spans="1:19" x14ac:dyDescent="0.25">
      <c r="A157" s="99"/>
      <c r="E157" s="101"/>
      <c r="F157" s="100"/>
      <c r="G157" s="100"/>
      <c r="H157" s="100"/>
      <c r="I157" s="100"/>
      <c r="J157" s="100"/>
      <c r="K157" s="100"/>
      <c r="L157" s="100"/>
      <c r="M157" s="100"/>
      <c r="N157" s="51"/>
      <c r="O157" s="51"/>
      <c r="P157"/>
      <c r="Q157"/>
      <c r="R157"/>
      <c r="S157"/>
    </row>
    <row r="158" spans="1:19" x14ac:dyDescent="0.25">
      <c r="A158" s="99"/>
      <c r="E158" s="101"/>
      <c r="F158" s="100"/>
      <c r="G158" s="100"/>
      <c r="H158" s="100"/>
      <c r="I158" s="100"/>
      <c r="J158" s="100"/>
      <c r="L158" s="100"/>
      <c r="M158" s="100"/>
      <c r="N158" s="51"/>
      <c r="O158" s="51"/>
      <c r="P158"/>
      <c r="Q158"/>
      <c r="R158"/>
      <c r="S158"/>
    </row>
    <row r="159" spans="1:19" x14ac:dyDescent="0.25">
      <c r="A159" s="99"/>
      <c r="E159" s="101"/>
      <c r="F159" s="100"/>
      <c r="G159" s="100"/>
      <c r="H159" s="100"/>
      <c r="I159" s="100"/>
      <c r="J159" s="100"/>
      <c r="K159" s="100"/>
      <c r="L159" s="100"/>
      <c r="M159" s="100"/>
      <c r="N159" s="51"/>
      <c r="O159" s="51"/>
      <c r="P159"/>
      <c r="Q159"/>
      <c r="R159"/>
      <c r="S159"/>
    </row>
    <row r="160" spans="1:19" x14ac:dyDescent="0.25">
      <c r="A160" s="99"/>
      <c r="E160" s="101"/>
      <c r="F160" s="100"/>
      <c r="G160" s="100"/>
      <c r="H160" s="100"/>
      <c r="I160" s="100"/>
      <c r="J160" s="100"/>
      <c r="K160" s="100"/>
      <c r="L160" s="100"/>
      <c r="M160" s="100"/>
      <c r="N160" s="51"/>
      <c r="O160" s="51"/>
      <c r="P160"/>
      <c r="Q160"/>
      <c r="R160"/>
      <c r="S160"/>
    </row>
    <row r="161" spans="1:19" x14ac:dyDescent="0.25">
      <c r="A161" s="99"/>
      <c r="E161" s="101"/>
      <c r="F161" s="100"/>
      <c r="G161" s="100"/>
      <c r="H161" s="100"/>
      <c r="I161" s="100"/>
      <c r="J161" s="100"/>
      <c r="K161" s="100"/>
      <c r="L161" s="100"/>
      <c r="M161" s="100"/>
      <c r="N161" s="51"/>
      <c r="O161" s="51"/>
      <c r="P161"/>
      <c r="Q161"/>
      <c r="R161"/>
      <c r="S161"/>
    </row>
    <row r="162" spans="1:19" x14ac:dyDescent="0.25">
      <c r="A162" s="99"/>
      <c r="E162" s="101"/>
      <c r="F162" s="100"/>
      <c r="G162" s="100"/>
      <c r="H162" s="100"/>
      <c r="I162" s="100"/>
      <c r="J162" s="100"/>
      <c r="K162" s="100"/>
      <c r="L162" s="100"/>
      <c r="M162" s="100"/>
      <c r="N162" s="51"/>
      <c r="O162" s="51"/>
      <c r="P162"/>
      <c r="Q162"/>
      <c r="R162"/>
      <c r="S162"/>
    </row>
    <row r="163" spans="1:19" x14ac:dyDescent="0.25">
      <c r="A163" s="99"/>
      <c r="E163" s="101"/>
      <c r="F163" s="100"/>
      <c r="G163" s="100"/>
      <c r="H163" s="100"/>
      <c r="I163" s="100"/>
      <c r="J163" s="100"/>
      <c r="K163" s="100"/>
      <c r="L163" s="100"/>
      <c r="M163" s="100"/>
      <c r="N163" s="51"/>
      <c r="O163" s="51"/>
      <c r="P163"/>
      <c r="Q163"/>
      <c r="R163"/>
      <c r="S163"/>
    </row>
    <row r="164" spans="1:19" x14ac:dyDescent="0.25">
      <c r="A164" s="99"/>
      <c r="E164" s="101"/>
      <c r="F164" s="100"/>
      <c r="G164" s="100"/>
      <c r="H164" s="100"/>
      <c r="I164" s="100"/>
      <c r="J164" s="100"/>
      <c r="K164" s="100"/>
      <c r="L164" s="100"/>
      <c r="M164" s="100"/>
      <c r="N164" s="51"/>
      <c r="O164" s="51"/>
      <c r="P164"/>
      <c r="Q164"/>
      <c r="R164"/>
      <c r="S164"/>
    </row>
    <row r="165" spans="1:19" x14ac:dyDescent="0.25">
      <c r="A165" s="99"/>
      <c r="E165" s="101"/>
      <c r="F165" s="100"/>
      <c r="G165" s="100"/>
      <c r="H165" s="100"/>
      <c r="I165" s="100"/>
      <c r="J165" s="100"/>
      <c r="K165" s="100"/>
      <c r="L165" s="100"/>
      <c r="M165" s="100"/>
      <c r="N165" s="51"/>
      <c r="O165" s="51"/>
      <c r="P165"/>
      <c r="Q165"/>
      <c r="R165"/>
      <c r="S165"/>
    </row>
    <row r="166" spans="1:19" x14ac:dyDescent="0.25">
      <c r="A166" s="99"/>
      <c r="E166" s="101"/>
      <c r="F166" s="100"/>
      <c r="G166" s="100"/>
      <c r="H166" s="100"/>
      <c r="I166" s="100"/>
      <c r="J166" s="100"/>
      <c r="K166" s="100"/>
      <c r="L166" s="100"/>
      <c r="M166" s="100"/>
      <c r="N166" s="51"/>
      <c r="O166" s="51"/>
      <c r="P166"/>
      <c r="Q166"/>
      <c r="R166"/>
      <c r="S166"/>
    </row>
    <row r="167" spans="1:19" x14ac:dyDescent="0.25">
      <c r="A167" s="99"/>
      <c r="E167" s="101"/>
      <c r="F167" s="100"/>
      <c r="G167" s="100"/>
      <c r="H167" s="100"/>
      <c r="I167" s="100"/>
      <c r="J167" s="100"/>
      <c r="K167" s="100"/>
      <c r="L167" s="100"/>
      <c r="M167" s="100"/>
      <c r="N167" s="51"/>
      <c r="O167" s="51"/>
      <c r="P167"/>
      <c r="Q167"/>
      <c r="R167"/>
      <c r="S167"/>
    </row>
    <row r="168" spans="1:19" x14ac:dyDescent="0.25">
      <c r="A168" s="99"/>
      <c r="E168" s="101"/>
      <c r="F168" s="100"/>
      <c r="G168" s="100"/>
      <c r="H168" s="100"/>
      <c r="I168" s="100"/>
      <c r="J168" s="100"/>
      <c r="K168" s="100"/>
      <c r="L168" s="100"/>
      <c r="M168" s="100"/>
      <c r="N168" s="51"/>
      <c r="O168" s="51"/>
      <c r="P168"/>
      <c r="Q168"/>
      <c r="R168"/>
      <c r="S168"/>
    </row>
    <row r="169" spans="1:19" x14ac:dyDescent="0.25">
      <c r="A169" s="99"/>
      <c r="E169" s="101"/>
      <c r="F169" s="100"/>
      <c r="G169" s="100"/>
      <c r="H169" s="100"/>
      <c r="I169" s="100"/>
      <c r="J169" s="100"/>
      <c r="K169" s="100"/>
      <c r="L169" s="100"/>
      <c r="M169" s="100"/>
      <c r="N169" s="51"/>
      <c r="O169" s="51"/>
      <c r="P169"/>
      <c r="Q169"/>
      <c r="R169"/>
      <c r="S169"/>
    </row>
    <row r="170" spans="1:19" x14ac:dyDescent="0.25">
      <c r="A170" s="99"/>
      <c r="E170" s="101"/>
      <c r="F170" s="100"/>
      <c r="G170" s="100"/>
      <c r="H170" s="100"/>
      <c r="I170" s="100"/>
      <c r="J170" s="100"/>
      <c r="K170" s="100"/>
      <c r="L170" s="100"/>
      <c r="M170" s="100"/>
      <c r="N170" s="51"/>
      <c r="O170" s="51"/>
      <c r="P170"/>
      <c r="Q170"/>
      <c r="R170"/>
      <c r="S170"/>
    </row>
    <row r="171" spans="1:19" x14ac:dyDescent="0.25">
      <c r="A171" s="99"/>
      <c r="E171" s="101"/>
      <c r="F171" s="100"/>
      <c r="G171" s="100"/>
      <c r="H171" s="100"/>
      <c r="I171" s="100"/>
      <c r="J171" s="100"/>
      <c r="K171" s="100"/>
      <c r="L171" s="100"/>
      <c r="M171" s="100"/>
      <c r="N171" s="51"/>
      <c r="O171" s="51"/>
      <c r="P171"/>
      <c r="Q171"/>
      <c r="R171"/>
      <c r="S171"/>
    </row>
    <row r="172" spans="1:19" x14ac:dyDescent="0.25">
      <c r="A172" s="108"/>
      <c r="B172" s="108"/>
      <c r="C172" s="108"/>
      <c r="D172" s="109"/>
      <c r="E172" s="110"/>
      <c r="F172" s="100"/>
      <c r="G172" s="100"/>
      <c r="H172" s="100"/>
      <c r="I172" s="100"/>
      <c r="J172" s="100"/>
      <c r="K172" s="100"/>
      <c r="L172" s="100"/>
      <c r="M172" s="100"/>
      <c r="N172" s="51"/>
      <c r="O172" s="51"/>
      <c r="P172"/>
      <c r="Q172"/>
      <c r="R172"/>
      <c r="S172"/>
    </row>
    <row r="173" spans="1:19" x14ac:dyDescent="0.25">
      <c r="A173" s="108"/>
      <c r="B173" s="108"/>
      <c r="C173" s="108"/>
      <c r="D173" s="109"/>
      <c r="E173" s="110"/>
      <c r="F173" s="100"/>
      <c r="G173" s="100"/>
      <c r="H173" s="100"/>
      <c r="I173" s="100"/>
      <c r="J173" s="100"/>
      <c r="K173" s="100"/>
      <c r="L173" s="100"/>
      <c r="M173" s="100"/>
      <c r="N173" s="51"/>
      <c r="O173" s="51"/>
      <c r="P173"/>
      <c r="Q173"/>
      <c r="R173"/>
      <c r="S173"/>
    </row>
    <row r="174" spans="1:19" x14ac:dyDescent="0.25">
      <c r="A174" s="99"/>
      <c r="B174" s="110"/>
      <c r="C174" s="110"/>
      <c r="D174" s="111"/>
      <c r="E174" s="110"/>
      <c r="F174" s="100"/>
      <c r="G174" s="100"/>
      <c r="H174" s="100"/>
      <c r="I174" s="100"/>
      <c r="J174" s="100"/>
      <c r="K174" s="100"/>
      <c r="L174" s="100"/>
      <c r="M174" s="100"/>
      <c r="N174" s="51"/>
      <c r="O174" s="51"/>
      <c r="P174"/>
      <c r="Q174"/>
      <c r="R174"/>
      <c r="S174"/>
    </row>
    <row r="175" spans="1:19" x14ac:dyDescent="0.25">
      <c r="A175" s="99"/>
      <c r="B175" s="110"/>
      <c r="C175" s="110"/>
      <c r="D175" s="111"/>
      <c r="E175" s="110"/>
      <c r="F175" s="100"/>
      <c r="G175" s="100"/>
      <c r="H175" s="100"/>
      <c r="I175" s="100"/>
      <c r="J175" s="100"/>
      <c r="K175" s="100"/>
      <c r="L175" s="100"/>
      <c r="M175" s="100"/>
      <c r="N175" s="51"/>
      <c r="O175" s="51"/>
      <c r="P175"/>
      <c r="Q175"/>
      <c r="R175"/>
      <c r="S175"/>
    </row>
    <row r="176" spans="1:19" x14ac:dyDescent="0.25">
      <c r="A176" s="99"/>
      <c r="B176" s="110"/>
      <c r="C176" s="110"/>
      <c r="D176" s="111"/>
      <c r="E176" s="110"/>
      <c r="F176" s="100"/>
      <c r="G176" s="100"/>
      <c r="H176" s="100"/>
      <c r="I176" s="100"/>
      <c r="J176" s="100"/>
      <c r="K176" s="100"/>
      <c r="L176" s="100"/>
      <c r="M176" s="100"/>
      <c r="N176" s="51"/>
      <c r="O176" s="51"/>
      <c r="P176"/>
      <c r="Q176"/>
      <c r="R176"/>
      <c r="S176"/>
    </row>
    <row r="177" spans="1:19" x14ac:dyDescent="0.25">
      <c r="A177" s="99"/>
      <c r="B177" s="110"/>
      <c r="C177" s="110"/>
      <c r="D177" s="111"/>
      <c r="E177" s="110"/>
      <c r="F177" s="100"/>
      <c r="G177" s="100"/>
      <c r="H177" s="100"/>
      <c r="I177" s="100"/>
      <c r="J177" s="100"/>
      <c r="K177" s="100"/>
      <c r="L177" s="100"/>
      <c r="M177" s="100"/>
      <c r="N177" s="51"/>
      <c r="O177" s="51"/>
      <c r="P177"/>
      <c r="Q177"/>
      <c r="R177"/>
      <c r="S177"/>
    </row>
    <row r="178" spans="1:19" x14ac:dyDescent="0.25">
      <c r="A178" s="99"/>
      <c r="B178" s="110"/>
      <c r="C178" s="110"/>
      <c r="D178" s="111"/>
      <c r="E178" s="110"/>
      <c r="F178" s="100"/>
      <c r="G178" s="100"/>
      <c r="H178" s="100"/>
      <c r="I178" s="100"/>
      <c r="J178" s="100"/>
      <c r="K178" s="100"/>
      <c r="L178" s="100"/>
      <c r="M178" s="100"/>
      <c r="N178" s="51"/>
      <c r="O178" s="51"/>
      <c r="P178"/>
      <c r="Q178"/>
      <c r="R178"/>
      <c r="S178"/>
    </row>
    <row r="179" spans="1:19" x14ac:dyDescent="0.25">
      <c r="A179" s="99"/>
      <c r="B179" s="110"/>
      <c r="C179" s="110"/>
      <c r="D179" s="111"/>
      <c r="E179" s="110"/>
      <c r="F179" s="100"/>
      <c r="G179" s="100"/>
      <c r="H179" s="100"/>
      <c r="I179" s="100"/>
      <c r="J179" s="100"/>
      <c r="K179" s="100"/>
      <c r="L179" s="100"/>
      <c r="M179" s="100"/>
      <c r="N179" s="51"/>
      <c r="O179" s="51"/>
      <c r="P179"/>
      <c r="Q179"/>
      <c r="R179"/>
      <c r="S179"/>
    </row>
    <row r="180" spans="1:19" x14ac:dyDescent="0.25">
      <c r="A180" s="99"/>
      <c r="B180" s="110"/>
      <c r="C180" s="110"/>
      <c r="D180" s="111"/>
      <c r="E180" s="110"/>
      <c r="F180" s="100"/>
      <c r="G180" s="100"/>
      <c r="H180" s="100"/>
      <c r="I180" s="100"/>
      <c r="J180" s="100"/>
      <c r="K180" s="100"/>
      <c r="L180" s="100"/>
      <c r="M180" s="100"/>
      <c r="N180" s="51"/>
      <c r="O180" s="51"/>
      <c r="P180"/>
      <c r="Q180"/>
      <c r="R180"/>
      <c r="S180"/>
    </row>
    <row r="181" spans="1:19" x14ac:dyDescent="0.25">
      <c r="A181" s="99"/>
      <c r="B181" s="110"/>
      <c r="C181" s="110"/>
      <c r="D181" s="111"/>
      <c r="E181" s="110"/>
      <c r="F181" s="100"/>
      <c r="G181" s="100"/>
      <c r="H181" s="100"/>
      <c r="I181" s="100"/>
      <c r="J181" s="100"/>
      <c r="K181" s="100"/>
      <c r="L181" s="100"/>
      <c r="M181" s="100"/>
      <c r="N181" s="51"/>
      <c r="O181" s="51"/>
      <c r="P181"/>
      <c r="Q181"/>
      <c r="R181"/>
      <c r="S181"/>
    </row>
    <row r="182" spans="1:19" x14ac:dyDescent="0.25">
      <c r="A182" s="99"/>
      <c r="B182" s="110"/>
      <c r="C182" s="110"/>
      <c r="D182" s="111"/>
      <c r="E182" s="110"/>
      <c r="F182" s="100"/>
      <c r="G182" s="100"/>
      <c r="H182" s="100"/>
      <c r="I182" s="100"/>
      <c r="J182" s="100"/>
      <c r="K182" s="100"/>
      <c r="L182" s="100"/>
      <c r="M182" s="100"/>
      <c r="N182" s="51"/>
      <c r="O182" s="51"/>
      <c r="P182"/>
      <c r="Q182"/>
      <c r="R182"/>
      <c r="S182"/>
    </row>
    <row r="183" spans="1:19" x14ac:dyDescent="0.25">
      <c r="A183" s="99"/>
      <c r="B183" s="110"/>
      <c r="C183" s="110"/>
      <c r="D183" s="111"/>
      <c r="E183" s="110"/>
      <c r="F183" s="100"/>
      <c r="G183" s="100"/>
      <c r="H183" s="100"/>
      <c r="I183" s="100"/>
      <c r="J183" s="100"/>
      <c r="K183" s="100"/>
      <c r="L183" s="100"/>
      <c r="M183" s="100"/>
      <c r="N183" s="51"/>
      <c r="O183" s="51"/>
      <c r="P183"/>
      <c r="Q183"/>
      <c r="R183"/>
      <c r="S183"/>
    </row>
    <row r="184" spans="1:19" x14ac:dyDescent="0.25">
      <c r="A184" s="99"/>
      <c r="B184" s="110"/>
      <c r="C184" s="110"/>
      <c r="D184" s="111"/>
      <c r="E184" s="110"/>
      <c r="F184" s="100"/>
      <c r="G184" s="100"/>
      <c r="H184" s="100"/>
      <c r="I184" s="100"/>
      <c r="J184" s="100"/>
      <c r="K184" s="100"/>
      <c r="L184" s="100"/>
      <c r="M184" s="100"/>
      <c r="N184" s="51"/>
      <c r="O184" s="51"/>
      <c r="P184"/>
      <c r="Q184"/>
      <c r="R184"/>
      <c r="S184"/>
    </row>
    <row r="185" spans="1:19" x14ac:dyDescent="0.25">
      <c r="A185" s="99"/>
      <c r="B185" s="110"/>
      <c r="C185" s="110"/>
      <c r="D185" s="111"/>
      <c r="E185" s="110"/>
      <c r="F185" s="100"/>
      <c r="G185" s="100"/>
      <c r="H185" s="100"/>
      <c r="I185" s="100"/>
      <c r="J185" s="100"/>
      <c r="K185" s="100"/>
      <c r="L185" s="100"/>
      <c r="M185" s="100"/>
      <c r="N185" s="51"/>
      <c r="O185" s="51"/>
      <c r="P185"/>
      <c r="Q185"/>
      <c r="R185"/>
      <c r="S185"/>
    </row>
    <row r="186" spans="1:19" x14ac:dyDescent="0.25">
      <c r="A186" s="99"/>
      <c r="B186" s="110"/>
      <c r="C186" s="110"/>
      <c r="D186" s="111"/>
      <c r="E186" s="110"/>
      <c r="F186" s="100"/>
      <c r="G186" s="100"/>
      <c r="H186" s="100"/>
      <c r="I186" s="100"/>
      <c r="J186" s="100"/>
      <c r="K186" s="100"/>
      <c r="L186" s="100"/>
      <c r="M186" s="100"/>
      <c r="N186" s="51"/>
      <c r="O186" s="51"/>
      <c r="P186"/>
      <c r="Q186"/>
      <c r="R186"/>
      <c r="S186"/>
    </row>
    <row r="187" spans="1:19" x14ac:dyDescent="0.25">
      <c r="A187" s="99"/>
      <c r="B187" s="110"/>
      <c r="C187" s="110"/>
      <c r="D187" s="111"/>
      <c r="E187" s="110"/>
      <c r="F187" s="100"/>
      <c r="G187" s="100"/>
      <c r="H187" s="100"/>
      <c r="I187" s="100"/>
      <c r="J187" s="100"/>
      <c r="K187" s="100"/>
      <c r="L187" s="100"/>
      <c r="M187" s="100"/>
      <c r="N187" s="51"/>
      <c r="O187" s="51"/>
      <c r="P187"/>
      <c r="Q187"/>
      <c r="R187"/>
      <c r="S187"/>
    </row>
    <row r="188" spans="1:19" x14ac:dyDescent="0.25">
      <c r="A188" s="99"/>
      <c r="B188" s="110"/>
      <c r="C188" s="110"/>
      <c r="D188" s="111"/>
      <c r="E188" s="110"/>
      <c r="F188" s="100"/>
      <c r="G188" s="100"/>
      <c r="H188" s="100"/>
      <c r="I188" s="100"/>
      <c r="J188" s="100"/>
      <c r="K188" s="100"/>
      <c r="L188" s="100"/>
      <c r="M188" s="100"/>
      <c r="N188" s="51"/>
      <c r="O188" s="51"/>
      <c r="P188"/>
      <c r="Q188"/>
      <c r="R188"/>
      <c r="S188"/>
    </row>
    <row r="189" spans="1:19" x14ac:dyDescent="0.25">
      <c r="A189" s="99"/>
      <c r="B189" s="110"/>
      <c r="C189" s="110"/>
      <c r="D189" s="111"/>
      <c r="E189" s="110"/>
      <c r="F189" s="100"/>
      <c r="G189" s="100"/>
      <c r="H189" s="100"/>
      <c r="I189" s="100"/>
      <c r="J189" s="100"/>
      <c r="K189" s="100"/>
      <c r="L189" s="100"/>
      <c r="M189" s="100"/>
      <c r="N189" s="51"/>
      <c r="O189" s="51"/>
      <c r="P189"/>
      <c r="Q189"/>
      <c r="R189"/>
      <c r="S189"/>
    </row>
    <row r="190" spans="1:19" x14ac:dyDescent="0.25">
      <c r="A190" s="99"/>
      <c r="B190" s="110"/>
      <c r="C190" s="110"/>
      <c r="D190" s="111"/>
      <c r="E190" s="110"/>
      <c r="F190" s="100"/>
      <c r="G190" s="100"/>
      <c r="H190" s="100"/>
      <c r="I190" s="100"/>
      <c r="J190" s="100"/>
      <c r="K190" s="100"/>
      <c r="L190" s="100"/>
      <c r="M190" s="100"/>
      <c r="N190" s="51"/>
      <c r="O190" s="51"/>
      <c r="P190"/>
      <c r="Q190"/>
      <c r="R190"/>
      <c r="S190"/>
    </row>
    <row r="191" spans="1:19" x14ac:dyDescent="0.25">
      <c r="A191" s="99"/>
      <c r="B191" s="110"/>
      <c r="C191" s="110"/>
      <c r="D191" s="111"/>
      <c r="E191" s="110"/>
      <c r="F191" s="100"/>
      <c r="G191" s="100"/>
      <c r="H191" s="100"/>
      <c r="I191" s="100"/>
      <c r="J191" s="100"/>
      <c r="K191" s="100"/>
      <c r="L191" s="100"/>
      <c r="M191" s="100"/>
      <c r="N191" s="51"/>
      <c r="O191" s="51"/>
      <c r="P191"/>
      <c r="Q191"/>
      <c r="R191"/>
      <c r="S191"/>
    </row>
    <row r="192" spans="1:19" x14ac:dyDescent="0.25">
      <c r="A192" s="99"/>
      <c r="B192" s="110"/>
      <c r="C192" s="110"/>
      <c r="D192" s="111"/>
      <c r="E192" s="110"/>
      <c r="F192" s="100"/>
      <c r="G192" s="100"/>
      <c r="H192" s="100"/>
      <c r="I192" s="100"/>
      <c r="J192" s="100"/>
      <c r="K192" s="100"/>
      <c r="L192" s="100"/>
      <c r="M192" s="100"/>
      <c r="N192" s="51"/>
      <c r="O192" s="51"/>
      <c r="P192"/>
      <c r="Q192"/>
      <c r="R192"/>
      <c r="S192"/>
    </row>
    <row r="193" spans="1:19" x14ac:dyDescent="0.25">
      <c r="A193" s="99"/>
      <c r="B193" s="110"/>
      <c r="C193" s="110"/>
      <c r="D193" s="111"/>
      <c r="E193" s="110"/>
      <c r="F193" s="100"/>
      <c r="G193" s="100"/>
      <c r="H193" s="100"/>
      <c r="I193" s="100"/>
      <c r="J193" s="100"/>
      <c r="K193" s="100"/>
      <c r="L193" s="100"/>
      <c r="M193" s="100"/>
      <c r="N193" s="51"/>
      <c r="O193" s="51"/>
      <c r="P193"/>
      <c r="Q193"/>
      <c r="R193"/>
      <c r="S193"/>
    </row>
    <row r="194" spans="1:19" x14ac:dyDescent="0.25">
      <c r="A194" s="99"/>
      <c r="B194" s="110"/>
      <c r="C194" s="110"/>
      <c r="D194" s="111"/>
      <c r="E194" s="110"/>
      <c r="F194" s="100"/>
      <c r="G194" s="100"/>
      <c r="H194" s="100"/>
      <c r="I194" s="100"/>
      <c r="J194" s="100"/>
      <c r="K194" s="100"/>
      <c r="L194" s="100"/>
      <c r="M194" s="100"/>
      <c r="N194" s="51"/>
      <c r="O194" s="51"/>
      <c r="P194"/>
      <c r="Q194"/>
      <c r="R194"/>
      <c r="S194"/>
    </row>
    <row r="195" spans="1:19" x14ac:dyDescent="0.25">
      <c r="A195" s="99"/>
      <c r="B195" s="110"/>
      <c r="C195" s="110"/>
      <c r="D195" s="111"/>
      <c r="E195" s="110"/>
      <c r="F195" s="100"/>
      <c r="G195" s="100"/>
      <c r="H195" s="100"/>
      <c r="I195" s="100"/>
      <c r="J195" s="100"/>
      <c r="K195" s="100"/>
      <c r="L195" s="100"/>
      <c r="M195" s="100"/>
      <c r="N195" s="51"/>
      <c r="O195" s="51"/>
      <c r="P195"/>
      <c r="Q195"/>
      <c r="R195"/>
      <c r="S195"/>
    </row>
    <row r="196" spans="1:19" x14ac:dyDescent="0.25">
      <c r="A196" s="99"/>
      <c r="B196" s="110"/>
      <c r="C196" s="110"/>
      <c r="D196" s="111"/>
      <c r="E196" s="110"/>
      <c r="F196" s="100"/>
      <c r="G196" s="100"/>
      <c r="H196" s="100"/>
      <c r="I196" s="100"/>
      <c r="J196" s="100"/>
      <c r="K196" s="100"/>
      <c r="L196" s="100"/>
      <c r="M196" s="100"/>
      <c r="N196" s="51"/>
      <c r="O196" s="51"/>
      <c r="P196"/>
      <c r="Q196"/>
      <c r="R196"/>
      <c r="S196"/>
    </row>
    <row r="197" spans="1:19" x14ac:dyDescent="0.25">
      <c r="A197" s="99"/>
      <c r="B197" s="110"/>
      <c r="C197" s="110"/>
      <c r="D197" s="111"/>
      <c r="E197" s="110"/>
      <c r="F197" s="102"/>
      <c r="G197" s="100"/>
      <c r="H197" s="100"/>
      <c r="I197" s="100"/>
      <c r="J197" s="102"/>
      <c r="K197" s="100"/>
      <c r="L197" s="100"/>
      <c r="M197" s="100"/>
      <c r="N197" s="51"/>
      <c r="O197" s="51"/>
      <c r="P197"/>
      <c r="Q197"/>
      <c r="R197"/>
      <c r="S197"/>
    </row>
    <row r="198" spans="1:19" x14ac:dyDescent="0.25">
      <c r="A198" s="99"/>
      <c r="B198" s="110"/>
      <c r="C198" s="110"/>
      <c r="D198" s="111"/>
      <c r="E198" s="110"/>
      <c r="F198" s="100"/>
      <c r="G198" s="100"/>
      <c r="H198" s="100"/>
      <c r="I198" s="100"/>
      <c r="J198" s="100"/>
      <c r="K198" s="100"/>
      <c r="L198" s="100"/>
      <c r="M198" s="100"/>
      <c r="N198" s="51"/>
      <c r="O198" s="51"/>
      <c r="P198"/>
      <c r="Q198"/>
      <c r="R198"/>
      <c r="S198"/>
    </row>
    <row r="199" spans="1:19" x14ac:dyDescent="0.25">
      <c r="A199" s="99"/>
      <c r="B199" s="110"/>
      <c r="C199" s="110"/>
      <c r="D199" s="111"/>
      <c r="E199" s="110"/>
      <c r="F199" s="100"/>
      <c r="G199" s="100"/>
      <c r="H199" s="100"/>
      <c r="I199" s="100"/>
      <c r="J199" s="100"/>
      <c r="K199" s="100"/>
      <c r="L199" s="100"/>
      <c r="M199" s="100"/>
      <c r="N199" s="51"/>
      <c r="O199" s="51"/>
      <c r="P199"/>
      <c r="Q199"/>
      <c r="R199"/>
      <c r="S199"/>
    </row>
    <row r="200" spans="1:19" x14ac:dyDescent="0.25">
      <c r="A200" s="99"/>
      <c r="B200" s="110"/>
      <c r="C200" s="110"/>
      <c r="D200" s="111"/>
      <c r="E200" s="110"/>
      <c r="F200" s="100"/>
      <c r="G200" s="100"/>
      <c r="H200" s="100"/>
      <c r="I200" s="100"/>
      <c r="J200" s="100"/>
      <c r="K200" s="100"/>
      <c r="L200" s="100"/>
      <c r="M200" s="100"/>
      <c r="N200" s="51"/>
      <c r="O200" s="51"/>
      <c r="P200"/>
      <c r="Q200"/>
      <c r="R200"/>
      <c r="S200"/>
    </row>
    <row r="201" spans="1:19" x14ac:dyDescent="0.25">
      <c r="A201" s="99"/>
      <c r="B201" s="110"/>
      <c r="C201" s="110"/>
      <c r="D201" s="111"/>
      <c r="E201" s="110"/>
      <c r="F201" s="100"/>
      <c r="G201" s="100"/>
      <c r="H201" s="100"/>
      <c r="I201" s="100"/>
      <c r="J201" s="100"/>
      <c r="K201" s="100"/>
      <c r="L201" s="100"/>
      <c r="M201" s="100"/>
      <c r="N201" s="51"/>
      <c r="O201" s="51"/>
      <c r="P201"/>
      <c r="Q201"/>
      <c r="R201"/>
      <c r="S201"/>
    </row>
    <row r="202" spans="1:19" x14ac:dyDescent="0.25">
      <c r="A202" s="99"/>
      <c r="B202" s="110"/>
      <c r="C202" s="110"/>
      <c r="D202" s="111"/>
      <c r="E202" s="110"/>
      <c r="F202" s="100"/>
      <c r="G202" s="100"/>
      <c r="H202" s="100"/>
      <c r="I202" s="100"/>
      <c r="J202" s="100"/>
      <c r="K202" s="100"/>
      <c r="L202" s="100"/>
      <c r="M202" s="100"/>
      <c r="N202" s="51"/>
      <c r="O202" s="51"/>
      <c r="P202"/>
      <c r="Q202"/>
      <c r="R202"/>
      <c r="S202"/>
    </row>
    <row r="203" spans="1:19" x14ac:dyDescent="0.25">
      <c r="A203" s="99"/>
      <c r="B203" s="110"/>
      <c r="C203" s="110"/>
      <c r="D203" s="111"/>
      <c r="E203" s="110"/>
      <c r="F203" s="100"/>
      <c r="G203" s="100"/>
      <c r="H203" s="100"/>
      <c r="I203" s="100"/>
      <c r="J203" s="100"/>
      <c r="K203" s="100"/>
      <c r="L203" s="100"/>
      <c r="M203" s="100"/>
      <c r="N203" s="51"/>
      <c r="O203" s="51"/>
      <c r="P203"/>
      <c r="Q203"/>
      <c r="R203"/>
      <c r="S203"/>
    </row>
    <row r="204" spans="1:19" x14ac:dyDescent="0.25">
      <c r="A204" s="99"/>
      <c r="B204" s="110"/>
      <c r="C204" s="110"/>
      <c r="D204" s="111"/>
      <c r="E204" s="110"/>
      <c r="F204" s="100"/>
      <c r="G204" s="100"/>
      <c r="H204" s="100"/>
      <c r="I204" s="100"/>
      <c r="J204" s="100"/>
      <c r="K204" s="100"/>
      <c r="L204" s="100"/>
      <c r="M204" s="100"/>
      <c r="N204" s="51"/>
      <c r="O204" s="51"/>
      <c r="P204"/>
      <c r="Q204"/>
      <c r="R204"/>
      <c r="S204"/>
    </row>
    <row r="205" spans="1:19" x14ac:dyDescent="0.25">
      <c r="A205" s="99"/>
      <c r="B205" s="110"/>
      <c r="C205" s="110"/>
      <c r="D205" s="111"/>
      <c r="E205" s="110"/>
      <c r="F205" s="100"/>
      <c r="G205" s="100"/>
      <c r="H205" s="100"/>
      <c r="I205" s="100"/>
      <c r="J205" s="100"/>
      <c r="K205" s="100"/>
      <c r="L205" s="100"/>
      <c r="M205" s="100"/>
      <c r="N205" s="51"/>
      <c r="O205" s="51"/>
      <c r="P205"/>
      <c r="Q205"/>
      <c r="R205"/>
      <c r="S205"/>
    </row>
    <row r="206" spans="1:19" x14ac:dyDescent="0.25">
      <c r="A206" s="99"/>
      <c r="B206" s="110"/>
      <c r="C206" s="110"/>
      <c r="D206" s="111"/>
      <c r="E206" s="110"/>
      <c r="F206" s="100"/>
      <c r="G206" s="100"/>
      <c r="H206" s="100"/>
      <c r="I206" s="100"/>
      <c r="J206" s="100"/>
      <c r="K206" s="100"/>
      <c r="L206" s="100"/>
      <c r="M206" s="100"/>
      <c r="N206" s="51"/>
      <c r="O206" s="51"/>
      <c r="P206"/>
      <c r="Q206"/>
      <c r="R206"/>
      <c r="S206"/>
    </row>
    <row r="207" spans="1:19" x14ac:dyDescent="0.25">
      <c r="A207" s="99"/>
      <c r="B207" s="110"/>
      <c r="C207" s="110"/>
      <c r="D207" s="111"/>
      <c r="E207" s="110"/>
      <c r="F207" s="103"/>
      <c r="G207" s="100"/>
      <c r="H207" s="100"/>
      <c r="I207" s="100"/>
      <c r="J207" s="100"/>
      <c r="K207" s="100"/>
      <c r="L207" s="100"/>
      <c r="M207" s="100"/>
      <c r="N207" s="51"/>
      <c r="O207" s="51"/>
      <c r="P207"/>
      <c r="Q207"/>
      <c r="R207"/>
      <c r="S207"/>
    </row>
    <row r="208" spans="1:19" x14ac:dyDescent="0.25">
      <c r="A208" s="99"/>
      <c r="B208" s="110"/>
      <c r="C208" s="110"/>
      <c r="D208" s="111"/>
      <c r="E208" s="110"/>
      <c r="F208" s="100"/>
      <c r="G208" s="100"/>
      <c r="H208" s="100"/>
      <c r="I208" s="100"/>
      <c r="J208" s="100"/>
      <c r="K208" s="100"/>
      <c r="L208" s="100"/>
      <c r="M208" s="100"/>
      <c r="N208" s="51"/>
      <c r="O208" s="51"/>
      <c r="P208"/>
      <c r="Q208"/>
      <c r="R208"/>
      <c r="S208"/>
    </row>
    <row r="209" spans="1:19" x14ac:dyDescent="0.25">
      <c r="A209" s="99"/>
      <c r="B209" s="110"/>
      <c r="C209" s="110"/>
      <c r="D209" s="111"/>
      <c r="E209" s="110"/>
      <c r="F209" s="100"/>
      <c r="G209" s="100"/>
      <c r="H209" s="100"/>
      <c r="I209" s="100"/>
      <c r="J209" s="100"/>
      <c r="K209" s="100"/>
      <c r="L209" s="100"/>
      <c r="M209" s="100"/>
      <c r="N209" s="51"/>
      <c r="O209" s="51"/>
      <c r="P209"/>
      <c r="Q209"/>
      <c r="R209"/>
      <c r="S209"/>
    </row>
    <row r="210" spans="1:19" x14ac:dyDescent="0.25">
      <c r="A210" s="99"/>
      <c r="B210" s="110"/>
      <c r="C210" s="110"/>
      <c r="D210" s="111"/>
      <c r="E210" s="110"/>
      <c r="F210" s="100"/>
      <c r="G210" s="100"/>
      <c r="H210" s="100"/>
      <c r="I210" s="100"/>
      <c r="J210" s="100"/>
      <c r="K210" s="100"/>
      <c r="L210" s="100"/>
      <c r="M210" s="100"/>
      <c r="N210" s="51"/>
      <c r="O210" s="51"/>
      <c r="P210"/>
      <c r="Q210"/>
      <c r="R210"/>
      <c r="S210"/>
    </row>
    <row r="211" spans="1:19" x14ac:dyDescent="0.25">
      <c r="A211" s="99"/>
      <c r="B211" s="110"/>
      <c r="C211" s="110"/>
      <c r="D211" s="111"/>
      <c r="E211" s="110"/>
      <c r="F211" s="100"/>
      <c r="G211" s="100"/>
      <c r="H211" s="100"/>
      <c r="I211" s="100"/>
      <c r="J211" s="100"/>
      <c r="K211" s="100"/>
      <c r="L211" s="100"/>
      <c r="M211" s="100"/>
      <c r="N211" s="51"/>
      <c r="O211" s="51"/>
      <c r="P211"/>
      <c r="Q211"/>
      <c r="R211"/>
      <c r="S211"/>
    </row>
    <row r="212" spans="1:19" x14ac:dyDescent="0.25">
      <c r="A212" s="99"/>
      <c r="B212" s="110"/>
      <c r="C212" s="110"/>
      <c r="D212" s="111"/>
      <c r="E212" s="110"/>
      <c r="F212" s="100"/>
      <c r="G212" s="100"/>
      <c r="H212" s="100"/>
      <c r="I212" s="100"/>
      <c r="J212" s="100"/>
      <c r="K212" s="100"/>
      <c r="L212" s="100"/>
      <c r="M212" s="100"/>
      <c r="N212" s="51"/>
      <c r="O212" s="51"/>
      <c r="P212"/>
      <c r="Q212"/>
      <c r="R212"/>
      <c r="S212"/>
    </row>
    <row r="213" spans="1:19" x14ac:dyDescent="0.25">
      <c r="A213" s="99"/>
      <c r="B213" s="110"/>
      <c r="C213" s="110"/>
      <c r="D213" s="111"/>
      <c r="E213" s="110"/>
      <c r="F213" s="104"/>
      <c r="G213" s="100"/>
      <c r="H213" s="100"/>
      <c r="I213" s="100"/>
      <c r="J213" s="100"/>
      <c r="K213" s="100"/>
      <c r="L213" s="100"/>
      <c r="M213" s="100"/>
      <c r="N213" s="51"/>
      <c r="O213" s="51"/>
      <c r="P213"/>
      <c r="Q213"/>
      <c r="R213"/>
      <c r="S213"/>
    </row>
    <row r="214" spans="1:19" x14ac:dyDescent="0.25">
      <c r="A214" s="99"/>
      <c r="B214" s="110"/>
      <c r="C214" s="110"/>
      <c r="D214" s="111"/>
      <c r="E214" s="110"/>
      <c r="F214" s="104"/>
      <c r="G214" s="100"/>
      <c r="H214" s="100"/>
      <c r="I214" s="100"/>
      <c r="J214" s="100"/>
      <c r="K214" s="100"/>
      <c r="L214" s="100"/>
      <c r="M214" s="100"/>
      <c r="N214" s="51"/>
      <c r="O214" s="51"/>
      <c r="P214"/>
      <c r="Q214"/>
      <c r="R214"/>
      <c r="S214"/>
    </row>
    <row r="215" spans="1:19" x14ac:dyDescent="0.25">
      <c r="A215" s="99"/>
      <c r="B215" s="110"/>
      <c r="C215" s="110"/>
      <c r="D215" s="111"/>
      <c r="E215" s="110"/>
      <c r="F215" s="104"/>
      <c r="G215" s="100"/>
      <c r="H215" s="100"/>
      <c r="I215" s="100"/>
      <c r="J215" s="100"/>
      <c r="K215" s="100"/>
      <c r="L215" s="100"/>
      <c r="M215" s="100"/>
      <c r="N215" s="51"/>
      <c r="O215" s="51"/>
      <c r="P215"/>
      <c r="Q215"/>
      <c r="R215"/>
      <c r="S215"/>
    </row>
    <row r="216" spans="1:19" x14ac:dyDescent="0.25">
      <c r="A216" s="99"/>
      <c r="B216" s="110"/>
      <c r="C216" s="110"/>
      <c r="D216" s="111"/>
      <c r="E216" s="110"/>
      <c r="F216" s="104"/>
      <c r="G216" s="100"/>
      <c r="H216" s="100"/>
      <c r="I216" s="100"/>
      <c r="J216" s="100"/>
      <c r="K216" s="100"/>
      <c r="L216" s="100"/>
      <c r="M216" s="100"/>
      <c r="N216" s="51"/>
      <c r="O216" s="51"/>
      <c r="P216"/>
      <c r="Q216"/>
      <c r="R216"/>
      <c r="S216"/>
    </row>
    <row r="217" spans="1:19" x14ac:dyDescent="0.25">
      <c r="A217" s="99"/>
      <c r="B217" s="110"/>
      <c r="C217" s="110"/>
      <c r="D217" s="111"/>
      <c r="E217" s="110"/>
      <c r="F217" s="104"/>
      <c r="G217" s="100"/>
      <c r="H217" s="100"/>
      <c r="I217" s="100"/>
      <c r="J217" s="100"/>
      <c r="K217" s="100"/>
      <c r="L217" s="100"/>
      <c r="M217" s="100"/>
      <c r="N217" s="51"/>
      <c r="O217" s="51"/>
      <c r="P217"/>
      <c r="Q217"/>
      <c r="R217"/>
      <c r="S217"/>
    </row>
    <row r="218" spans="1:19" x14ac:dyDescent="0.25">
      <c r="A218" s="99"/>
      <c r="B218" s="110"/>
      <c r="C218" s="110"/>
      <c r="D218" s="111"/>
      <c r="E218" s="110"/>
      <c r="F218" s="104"/>
      <c r="G218" s="100"/>
      <c r="H218" s="100"/>
      <c r="I218" s="100"/>
      <c r="J218" s="100"/>
      <c r="K218" s="100"/>
      <c r="L218" s="100"/>
      <c r="M218" s="100"/>
      <c r="N218" s="51"/>
      <c r="O218" s="51"/>
      <c r="P218"/>
      <c r="Q218"/>
      <c r="R218"/>
      <c r="S218"/>
    </row>
    <row r="219" spans="1:19" x14ac:dyDescent="0.25">
      <c r="A219" s="99"/>
      <c r="B219" s="110"/>
      <c r="C219" s="110"/>
      <c r="D219" s="111"/>
      <c r="E219" s="110"/>
      <c r="F219" s="104"/>
      <c r="G219" s="100"/>
      <c r="H219" s="100"/>
      <c r="I219" s="100"/>
      <c r="J219" s="100"/>
      <c r="K219" s="100"/>
      <c r="L219" s="100"/>
      <c r="M219" s="100"/>
      <c r="N219" s="51"/>
      <c r="O219" s="51"/>
      <c r="P219"/>
      <c r="Q219"/>
      <c r="R219"/>
      <c r="S219"/>
    </row>
    <row r="220" spans="1:19" x14ac:dyDescent="0.25">
      <c r="A220" s="99"/>
      <c r="B220" s="110"/>
      <c r="C220" s="110"/>
      <c r="D220" s="111"/>
      <c r="E220" s="110"/>
      <c r="F220" s="104"/>
      <c r="G220" s="100"/>
      <c r="H220" s="100"/>
      <c r="I220" s="100"/>
      <c r="J220" s="100"/>
      <c r="K220" s="100"/>
      <c r="L220" s="100"/>
      <c r="M220" s="100"/>
      <c r="N220" s="51"/>
      <c r="O220" s="51"/>
      <c r="P220"/>
      <c r="Q220"/>
      <c r="R220"/>
      <c r="S220"/>
    </row>
    <row r="221" spans="1:19" x14ac:dyDescent="0.25">
      <c r="A221" s="99"/>
      <c r="B221" s="110"/>
      <c r="C221" s="110"/>
      <c r="D221" s="111"/>
      <c r="E221" s="110"/>
      <c r="F221" s="104"/>
      <c r="G221" s="100"/>
      <c r="H221" s="100"/>
      <c r="I221" s="100"/>
      <c r="J221" s="100"/>
      <c r="K221" s="100"/>
      <c r="L221" s="100"/>
      <c r="M221" s="100"/>
      <c r="N221" s="51"/>
      <c r="O221" s="51"/>
      <c r="P221"/>
      <c r="Q221"/>
      <c r="R221"/>
      <c r="S221"/>
    </row>
    <row r="222" spans="1:19" x14ac:dyDescent="0.25">
      <c r="A222" s="99"/>
      <c r="B222" s="110"/>
      <c r="C222" s="110"/>
      <c r="D222" s="111"/>
      <c r="E222" s="110"/>
      <c r="F222" s="104"/>
      <c r="G222" s="100"/>
      <c r="H222" s="100"/>
      <c r="I222" s="100"/>
      <c r="J222" s="100"/>
      <c r="K222" s="100"/>
      <c r="L222" s="100"/>
      <c r="M222" s="100"/>
      <c r="N222" s="51"/>
      <c r="O222" s="51"/>
      <c r="P222"/>
      <c r="Q222"/>
      <c r="R222"/>
      <c r="S222"/>
    </row>
    <row r="223" spans="1:19" x14ac:dyDescent="0.25">
      <c r="A223" s="99"/>
      <c r="B223" s="110"/>
      <c r="C223" s="110"/>
      <c r="D223" s="111"/>
      <c r="E223" s="110"/>
      <c r="F223" s="104"/>
      <c r="G223" s="100"/>
      <c r="H223" s="100"/>
      <c r="I223" s="100"/>
      <c r="J223" s="100"/>
      <c r="K223" s="100"/>
      <c r="L223" s="100"/>
      <c r="M223" s="100"/>
      <c r="N223" s="51"/>
      <c r="O223" s="51"/>
      <c r="P223"/>
      <c r="Q223"/>
      <c r="R223"/>
      <c r="S223"/>
    </row>
    <row r="224" spans="1:19" x14ac:dyDescent="0.25">
      <c r="A224" s="99"/>
      <c r="B224" s="110"/>
      <c r="C224" s="110"/>
      <c r="D224" s="111"/>
      <c r="E224" s="110"/>
      <c r="F224" s="104"/>
      <c r="G224" s="100"/>
      <c r="H224" s="100"/>
      <c r="I224" s="100"/>
      <c r="J224" s="100"/>
      <c r="K224" s="100"/>
      <c r="L224" s="100"/>
      <c r="M224" s="100"/>
      <c r="N224" s="51"/>
      <c r="O224" s="51"/>
      <c r="P224"/>
      <c r="Q224"/>
      <c r="R224"/>
      <c r="S224"/>
    </row>
    <row r="225" spans="1:19" x14ac:dyDescent="0.25">
      <c r="A225" s="99"/>
      <c r="B225" s="110"/>
      <c r="C225" s="110"/>
      <c r="D225" s="111"/>
      <c r="E225" s="110"/>
      <c r="F225" s="104"/>
      <c r="G225" s="100"/>
      <c r="H225" s="100"/>
      <c r="I225" s="100"/>
      <c r="J225" s="100"/>
      <c r="K225" s="100"/>
      <c r="L225" s="100"/>
      <c r="M225" s="100"/>
      <c r="N225" s="51"/>
      <c r="O225" s="51"/>
      <c r="P225"/>
      <c r="Q225"/>
      <c r="R225"/>
      <c r="S225"/>
    </row>
    <row r="226" spans="1:19" x14ac:dyDescent="0.25">
      <c r="A226" s="99"/>
      <c r="B226" s="110"/>
      <c r="C226" s="110"/>
      <c r="D226" s="111"/>
      <c r="E226" s="110"/>
      <c r="F226" s="104"/>
      <c r="G226" s="100"/>
      <c r="H226" s="100"/>
      <c r="I226" s="100"/>
      <c r="J226" s="100"/>
      <c r="K226" s="100"/>
      <c r="L226" s="100"/>
      <c r="M226" s="100"/>
      <c r="N226" s="51"/>
      <c r="O226" s="51"/>
      <c r="P226"/>
      <c r="Q226"/>
      <c r="R226"/>
      <c r="S226"/>
    </row>
    <row r="227" spans="1:19" x14ac:dyDescent="0.25">
      <c r="A227" s="99"/>
      <c r="B227" s="110"/>
      <c r="C227" s="110"/>
      <c r="D227" s="111"/>
      <c r="E227" s="110"/>
      <c r="F227" s="104"/>
      <c r="G227" s="100"/>
      <c r="H227" s="100"/>
      <c r="I227" s="100"/>
      <c r="J227" s="100"/>
      <c r="K227" s="100"/>
      <c r="L227" s="100"/>
      <c r="M227" s="100"/>
      <c r="N227" s="51"/>
      <c r="O227" s="51"/>
      <c r="P227"/>
      <c r="Q227"/>
      <c r="R227"/>
      <c r="S227"/>
    </row>
    <row r="228" spans="1:19" x14ac:dyDescent="0.25">
      <c r="A228" s="99"/>
      <c r="B228" s="110"/>
      <c r="C228" s="110"/>
      <c r="D228" s="111"/>
      <c r="E228" s="110"/>
      <c r="F228" s="104"/>
      <c r="G228" s="100"/>
      <c r="H228" s="100"/>
      <c r="I228" s="100"/>
      <c r="J228" s="100"/>
      <c r="K228" s="100"/>
      <c r="L228" s="100"/>
      <c r="M228" s="100"/>
      <c r="N228" s="51"/>
      <c r="O228" s="51"/>
      <c r="P228"/>
      <c r="Q228"/>
      <c r="R228"/>
      <c r="S228"/>
    </row>
    <row r="229" spans="1:19" x14ac:dyDescent="0.25">
      <c r="A229" s="99"/>
      <c r="B229" s="110"/>
      <c r="C229" s="110"/>
      <c r="D229" s="111"/>
      <c r="E229" s="110"/>
      <c r="F229" s="104"/>
      <c r="G229" s="100"/>
      <c r="H229" s="100"/>
      <c r="I229" s="100"/>
      <c r="J229" s="100"/>
      <c r="K229" s="100"/>
      <c r="L229" s="100"/>
      <c r="M229" s="100"/>
      <c r="N229" s="51"/>
      <c r="O229" s="51"/>
      <c r="P229"/>
      <c r="Q229"/>
      <c r="R229"/>
      <c r="S229"/>
    </row>
    <row r="230" spans="1:19" x14ac:dyDescent="0.25">
      <c r="A230" s="99"/>
      <c r="B230" s="110"/>
      <c r="C230" s="110"/>
      <c r="D230" s="111"/>
      <c r="E230" s="110"/>
      <c r="F230" s="104"/>
      <c r="G230" s="100"/>
      <c r="H230" s="100"/>
      <c r="I230" s="100"/>
      <c r="J230" s="100"/>
      <c r="K230" s="100"/>
      <c r="L230" s="100"/>
      <c r="M230" s="100"/>
      <c r="N230" s="51"/>
      <c r="O230" s="51"/>
      <c r="P230"/>
      <c r="Q230"/>
      <c r="R230"/>
      <c r="S230"/>
    </row>
    <row r="231" spans="1:19" x14ac:dyDescent="0.25">
      <c r="A231" s="99"/>
      <c r="B231" s="110"/>
      <c r="C231" s="110"/>
      <c r="D231" s="111"/>
      <c r="E231" s="110"/>
      <c r="F231" s="104"/>
      <c r="G231" s="100"/>
      <c r="H231" s="100"/>
      <c r="I231" s="100"/>
      <c r="J231" s="100"/>
      <c r="K231" s="100"/>
      <c r="L231" s="100"/>
      <c r="M231" s="100"/>
      <c r="N231" s="51"/>
      <c r="O231" s="51"/>
      <c r="P231"/>
      <c r="Q231"/>
      <c r="R231"/>
      <c r="S231"/>
    </row>
    <row r="232" spans="1:19" x14ac:dyDescent="0.25">
      <c r="A232" s="99"/>
      <c r="B232" s="110"/>
      <c r="C232" s="110"/>
      <c r="D232" s="111"/>
      <c r="E232" s="110"/>
      <c r="F232" s="104"/>
      <c r="G232" s="100"/>
      <c r="H232" s="100"/>
      <c r="I232" s="100"/>
      <c r="J232" s="100"/>
      <c r="K232" s="100"/>
      <c r="L232" s="100"/>
      <c r="M232" s="100"/>
      <c r="N232" s="51"/>
      <c r="O232" s="51"/>
      <c r="P232"/>
      <c r="Q232"/>
      <c r="R232"/>
      <c r="S232"/>
    </row>
    <row r="233" spans="1:19" x14ac:dyDescent="0.25">
      <c r="A233" s="99"/>
      <c r="B233" s="110"/>
      <c r="C233" s="110"/>
      <c r="D233" s="111"/>
      <c r="E233" s="110"/>
      <c r="F233" s="104"/>
      <c r="G233" s="100"/>
      <c r="H233" s="100"/>
      <c r="I233" s="100"/>
      <c r="J233" s="100"/>
      <c r="K233" s="100"/>
      <c r="L233" s="100"/>
      <c r="M233" s="100"/>
      <c r="N233" s="51"/>
      <c r="O233" s="51"/>
      <c r="P233"/>
      <c r="Q233"/>
      <c r="R233"/>
      <c r="S233"/>
    </row>
    <row r="234" spans="1:19" x14ac:dyDescent="0.25">
      <c r="A234" s="99"/>
      <c r="B234" s="110"/>
      <c r="C234" s="110"/>
      <c r="D234" s="111"/>
      <c r="E234" s="110"/>
      <c r="F234" s="104"/>
      <c r="G234" s="100"/>
      <c r="H234" s="100"/>
      <c r="I234" s="100"/>
      <c r="J234" s="100"/>
      <c r="K234" s="100"/>
      <c r="L234" s="100"/>
      <c r="M234" s="100"/>
      <c r="N234" s="51"/>
      <c r="O234" s="51"/>
      <c r="P234"/>
      <c r="Q234"/>
      <c r="R234"/>
      <c r="S234"/>
    </row>
    <row r="235" spans="1:19" x14ac:dyDescent="0.25">
      <c r="A235" s="99"/>
      <c r="B235" s="110"/>
      <c r="C235" s="110"/>
      <c r="D235" s="111"/>
      <c r="E235" s="110"/>
      <c r="F235" s="104"/>
      <c r="G235" s="100"/>
      <c r="H235" s="100"/>
      <c r="I235" s="100"/>
      <c r="J235" s="100"/>
      <c r="K235" s="100"/>
      <c r="L235" s="100"/>
      <c r="M235" s="100"/>
      <c r="N235" s="51"/>
      <c r="O235" s="51"/>
      <c r="P235"/>
      <c r="Q235"/>
      <c r="R235"/>
      <c r="S235"/>
    </row>
    <row r="236" spans="1:19" x14ac:dyDescent="0.25">
      <c r="A236" s="99"/>
      <c r="B236" s="110"/>
      <c r="C236" s="110"/>
      <c r="D236" s="111"/>
      <c r="E236" s="110"/>
      <c r="F236" s="100"/>
      <c r="G236" s="100"/>
      <c r="H236" s="100"/>
      <c r="I236" s="100"/>
      <c r="J236" s="100"/>
      <c r="K236" s="100"/>
      <c r="L236" s="100"/>
      <c r="M236" s="100"/>
      <c r="N236" s="51"/>
      <c r="O236" s="51"/>
      <c r="P236"/>
      <c r="Q236"/>
      <c r="R236"/>
      <c r="S236"/>
    </row>
    <row r="237" spans="1:19" x14ac:dyDescent="0.25">
      <c r="A237" s="99"/>
      <c r="B237" s="110"/>
      <c r="C237" s="110"/>
      <c r="D237" s="111"/>
      <c r="E237" s="110"/>
      <c r="F237" s="100"/>
      <c r="G237" s="100"/>
      <c r="H237" s="100"/>
      <c r="I237" s="100"/>
      <c r="J237" s="100"/>
      <c r="K237" s="100"/>
      <c r="L237" s="100"/>
      <c r="M237" s="100"/>
      <c r="N237" s="51"/>
      <c r="O237" s="51"/>
      <c r="P237"/>
      <c r="Q237"/>
      <c r="R237"/>
      <c r="S237"/>
    </row>
    <row r="238" spans="1:19" x14ac:dyDescent="0.25">
      <c r="A238" s="99"/>
      <c r="B238" s="110"/>
      <c r="C238" s="110"/>
      <c r="D238" s="111"/>
      <c r="E238" s="110"/>
      <c r="F238" s="100"/>
      <c r="G238" s="100"/>
      <c r="H238" s="100"/>
      <c r="I238" s="100"/>
      <c r="J238" s="100"/>
      <c r="K238" s="100"/>
      <c r="L238" s="100"/>
      <c r="M238" s="100"/>
      <c r="N238" s="51"/>
      <c r="O238" s="51"/>
      <c r="P238"/>
      <c r="Q238"/>
      <c r="R238"/>
      <c r="S238"/>
    </row>
    <row r="239" spans="1:19" x14ac:dyDescent="0.25">
      <c r="A239" s="99"/>
      <c r="B239" s="110"/>
      <c r="C239" s="110"/>
      <c r="D239" s="111"/>
      <c r="E239" s="110"/>
      <c r="F239" s="100"/>
      <c r="G239" s="100"/>
      <c r="H239" s="100"/>
      <c r="I239" s="100"/>
      <c r="J239" s="100"/>
      <c r="K239" s="100"/>
      <c r="L239" s="100"/>
      <c r="M239" s="100"/>
      <c r="N239" s="51"/>
      <c r="O239" s="51"/>
      <c r="P239"/>
      <c r="Q239"/>
      <c r="R239"/>
      <c r="S239"/>
    </row>
    <row r="240" spans="1:19" x14ac:dyDescent="0.25">
      <c r="A240" s="99"/>
      <c r="B240" s="110"/>
      <c r="C240" s="110"/>
      <c r="D240" s="111"/>
      <c r="E240" s="110"/>
      <c r="F240" s="100"/>
      <c r="G240" s="100"/>
      <c r="H240" s="100"/>
      <c r="I240" s="100"/>
      <c r="J240" s="100"/>
      <c r="K240" s="100"/>
      <c r="L240" s="100"/>
      <c r="M240" s="100"/>
      <c r="N240" s="51"/>
      <c r="O240" s="51"/>
      <c r="P240"/>
      <c r="Q240"/>
      <c r="R240"/>
      <c r="S240"/>
    </row>
    <row r="241" spans="1:19" x14ac:dyDescent="0.25">
      <c r="A241" s="99"/>
      <c r="B241" s="110"/>
      <c r="C241" s="110"/>
      <c r="D241" s="111"/>
      <c r="E241" s="110"/>
      <c r="F241" s="100"/>
      <c r="G241" s="100"/>
      <c r="H241" s="100"/>
      <c r="I241" s="100"/>
      <c r="J241" s="100"/>
      <c r="K241" s="100"/>
      <c r="L241" s="100"/>
      <c r="M241" s="100"/>
      <c r="N241" s="51"/>
      <c r="O241" s="51"/>
      <c r="P241"/>
      <c r="Q241"/>
      <c r="R241"/>
      <c r="S241"/>
    </row>
    <row r="242" spans="1:19" x14ac:dyDescent="0.25">
      <c r="A242" s="99"/>
      <c r="B242" s="110"/>
      <c r="C242" s="110"/>
      <c r="D242" s="111"/>
      <c r="E242" s="110"/>
      <c r="F242" s="100"/>
      <c r="G242" s="100"/>
      <c r="H242" s="100"/>
      <c r="I242" s="100"/>
      <c r="J242" s="100"/>
      <c r="K242" s="100"/>
      <c r="L242" s="100"/>
      <c r="M242" s="100"/>
      <c r="N242" s="51"/>
      <c r="O242" s="51"/>
      <c r="P242"/>
      <c r="Q242"/>
      <c r="R242"/>
      <c r="S242"/>
    </row>
    <row r="243" spans="1:19" x14ac:dyDescent="0.25">
      <c r="A243" s="99"/>
      <c r="B243" s="110"/>
      <c r="C243" s="110"/>
      <c r="D243" s="111"/>
      <c r="E243" s="110"/>
      <c r="F243" s="100"/>
      <c r="G243" s="100"/>
      <c r="H243" s="100"/>
      <c r="I243" s="100"/>
      <c r="J243" s="100"/>
      <c r="K243" s="100"/>
      <c r="L243" s="100"/>
      <c r="M243" s="100"/>
      <c r="N243" s="51"/>
      <c r="O243" s="51"/>
      <c r="P243"/>
      <c r="Q243"/>
      <c r="R243"/>
      <c r="S243"/>
    </row>
    <row r="244" spans="1:19" x14ac:dyDescent="0.25">
      <c r="A244" s="99"/>
      <c r="B244" s="110"/>
      <c r="C244" s="110"/>
      <c r="D244" s="111"/>
      <c r="E244" s="110"/>
      <c r="F244" s="100"/>
      <c r="G244" s="100"/>
      <c r="H244" s="100"/>
      <c r="I244" s="100"/>
      <c r="J244" s="100"/>
      <c r="K244" s="100"/>
      <c r="L244" s="100"/>
      <c r="M244" s="100"/>
      <c r="N244" s="51"/>
      <c r="O244" s="51"/>
      <c r="P244"/>
      <c r="Q244"/>
      <c r="R244"/>
      <c r="S244"/>
    </row>
    <row r="245" spans="1:19" x14ac:dyDescent="0.25">
      <c r="A245" s="99"/>
      <c r="B245" s="110"/>
      <c r="C245" s="110"/>
      <c r="D245" s="111"/>
      <c r="E245" s="110"/>
      <c r="F245" s="100"/>
      <c r="G245" s="100"/>
      <c r="H245" s="100"/>
      <c r="I245" s="100"/>
      <c r="J245" s="100"/>
      <c r="K245" s="100"/>
      <c r="L245" s="100"/>
      <c r="M245" s="100"/>
      <c r="N245" s="51"/>
      <c r="O245" s="51"/>
      <c r="P245"/>
      <c r="Q245"/>
      <c r="R245"/>
      <c r="S245"/>
    </row>
    <row r="246" spans="1:19" x14ac:dyDescent="0.25">
      <c r="A246" s="99"/>
      <c r="B246" s="110"/>
      <c r="C246" s="110"/>
      <c r="D246" s="111"/>
      <c r="E246" s="110"/>
      <c r="F246" s="100"/>
      <c r="G246" s="100"/>
      <c r="H246" s="100"/>
      <c r="I246" s="100"/>
      <c r="J246" s="100"/>
      <c r="L246" s="100"/>
      <c r="M246" s="100"/>
      <c r="N246" s="51"/>
      <c r="O246" s="51"/>
      <c r="P246"/>
      <c r="Q246"/>
      <c r="R246"/>
      <c r="S246"/>
    </row>
    <row r="247" spans="1:19" x14ac:dyDescent="0.25">
      <c r="A247" s="99"/>
      <c r="B247" s="110"/>
      <c r="C247" s="110"/>
      <c r="D247" s="111"/>
      <c r="E247" s="110"/>
      <c r="F247" s="100"/>
      <c r="G247" s="100"/>
      <c r="H247" s="100"/>
      <c r="I247" s="100"/>
      <c r="J247" s="100"/>
      <c r="K247" s="100"/>
      <c r="L247" s="100"/>
      <c r="M247" s="100"/>
      <c r="N247" s="51"/>
      <c r="O247" s="51"/>
      <c r="P247"/>
      <c r="Q247"/>
      <c r="R247"/>
      <c r="S247"/>
    </row>
    <row r="248" spans="1:19" x14ac:dyDescent="0.25">
      <c r="A248" s="99"/>
      <c r="B248" s="110"/>
      <c r="C248" s="110"/>
      <c r="D248" s="111"/>
      <c r="E248" s="110"/>
      <c r="F248" s="100"/>
      <c r="G248" s="100"/>
      <c r="H248" s="100"/>
      <c r="I248" s="100"/>
      <c r="J248" s="100"/>
      <c r="K248" s="100"/>
      <c r="L248" s="100"/>
      <c r="M248" s="100"/>
      <c r="N248" s="51"/>
      <c r="O248" s="51"/>
      <c r="P248"/>
      <c r="Q248"/>
      <c r="R248"/>
      <c r="S248"/>
    </row>
    <row r="249" spans="1:19" x14ac:dyDescent="0.25">
      <c r="A249" s="99"/>
      <c r="B249" s="110"/>
      <c r="C249" s="110"/>
      <c r="D249" s="111"/>
      <c r="E249" s="110"/>
      <c r="F249" s="100"/>
      <c r="G249" s="100"/>
      <c r="H249" s="100"/>
      <c r="I249" s="100"/>
      <c r="J249" s="100"/>
      <c r="K249" s="100"/>
      <c r="L249" s="100"/>
      <c r="M249" s="100"/>
      <c r="N249" s="51"/>
      <c r="O249" s="51"/>
      <c r="P249"/>
      <c r="Q249"/>
      <c r="R249"/>
      <c r="S249"/>
    </row>
    <row r="250" spans="1:19" x14ac:dyDescent="0.25">
      <c r="A250" s="99"/>
      <c r="B250" s="110"/>
      <c r="C250" s="110"/>
      <c r="D250" s="111"/>
      <c r="E250" s="110"/>
      <c r="F250" s="100"/>
      <c r="G250" s="100"/>
      <c r="H250" s="100"/>
      <c r="I250" s="100"/>
      <c r="J250" s="100"/>
      <c r="K250" s="100"/>
      <c r="L250" s="100"/>
      <c r="M250" s="100"/>
      <c r="N250" s="51"/>
      <c r="O250" s="51"/>
      <c r="P250"/>
      <c r="Q250"/>
      <c r="R250"/>
      <c r="S250"/>
    </row>
    <row r="251" spans="1:19" x14ac:dyDescent="0.25">
      <c r="A251" s="99"/>
      <c r="B251" s="110"/>
      <c r="C251" s="110"/>
      <c r="D251" s="111"/>
      <c r="E251" s="110"/>
      <c r="F251" s="100"/>
      <c r="G251" s="100"/>
      <c r="H251" s="100"/>
      <c r="I251" s="100"/>
      <c r="J251" s="100"/>
      <c r="K251" s="100"/>
      <c r="L251" s="100"/>
      <c r="M251" s="100"/>
      <c r="N251" s="51"/>
      <c r="O251" s="51"/>
      <c r="P251"/>
      <c r="Q251"/>
      <c r="R251"/>
      <c r="S251"/>
    </row>
    <row r="252" spans="1:19" x14ac:dyDescent="0.25">
      <c r="A252" s="85"/>
      <c r="B252" s="85"/>
      <c r="C252" s="85"/>
      <c r="D252" s="85"/>
      <c r="E252" s="85"/>
      <c r="F252" s="85"/>
      <c r="G252" s="85"/>
      <c r="H252" s="85"/>
      <c r="I252" s="85"/>
      <c r="J252" s="85"/>
      <c r="K252" s="85"/>
      <c r="L252" s="85"/>
      <c r="M252" s="85"/>
      <c r="N252"/>
      <c r="O252"/>
      <c r="P252"/>
      <c r="Q252"/>
      <c r="R252"/>
      <c r="S252"/>
    </row>
    <row r="253" spans="1:19" x14ac:dyDescent="0.25">
      <c r="A253"/>
      <c r="B253"/>
      <c r="C253"/>
      <c r="D253"/>
      <c r="E253"/>
      <c r="F253"/>
      <c r="G253"/>
      <c r="H253"/>
      <c r="I253"/>
      <c r="J253"/>
      <c r="K253"/>
      <c r="L253"/>
      <c r="M253"/>
      <c r="N253"/>
      <c r="O253"/>
      <c r="P253"/>
      <c r="Q253"/>
      <c r="R253"/>
      <c r="S253"/>
    </row>
    <row r="254" spans="1:19" x14ac:dyDescent="0.25">
      <c r="A254"/>
      <c r="B254"/>
      <c r="C254"/>
      <c r="D254"/>
      <c r="E254"/>
      <c r="F254"/>
      <c r="G254"/>
      <c r="H254"/>
      <c r="I254"/>
      <c r="J254"/>
      <c r="K254"/>
      <c r="L254"/>
      <c r="M254"/>
      <c r="N254"/>
      <c r="O254"/>
      <c r="P254"/>
      <c r="Q254"/>
      <c r="R254"/>
      <c r="S254"/>
    </row>
    <row r="255" spans="1:19" x14ac:dyDescent="0.25">
      <c r="A255"/>
      <c r="B255"/>
      <c r="C255"/>
      <c r="D255"/>
      <c r="E255"/>
      <c r="F255"/>
      <c r="G255"/>
      <c r="H255"/>
      <c r="I255"/>
      <c r="J255"/>
      <c r="K255"/>
      <c r="L255"/>
      <c r="M255"/>
      <c r="N255"/>
      <c r="O255"/>
      <c r="P255"/>
      <c r="Q255"/>
      <c r="R255"/>
      <c r="S255"/>
    </row>
    <row r="256" spans="1:19" x14ac:dyDescent="0.25">
      <c r="A256"/>
      <c r="B256"/>
      <c r="C256"/>
      <c r="D256"/>
      <c r="E256"/>
      <c r="F256"/>
      <c r="G256"/>
      <c r="H256"/>
      <c r="I256"/>
      <c r="J256"/>
      <c r="K256"/>
      <c r="L256"/>
      <c r="M256"/>
      <c r="N256"/>
      <c r="O256"/>
      <c r="P256"/>
      <c r="Q256"/>
      <c r="R256"/>
      <c r="S256"/>
    </row>
    <row r="257" spans="1:19" x14ac:dyDescent="0.25">
      <c r="A257"/>
      <c r="B257"/>
      <c r="C257"/>
      <c r="D257"/>
      <c r="E257"/>
      <c r="F257"/>
      <c r="G257"/>
      <c r="H257"/>
      <c r="I257"/>
      <c r="J257"/>
      <c r="K257"/>
      <c r="L257"/>
      <c r="M257"/>
      <c r="N257"/>
      <c r="O257"/>
      <c r="P257"/>
      <c r="Q257"/>
      <c r="R257"/>
      <c r="S257"/>
    </row>
    <row r="258" spans="1:19" x14ac:dyDescent="0.25">
      <c r="A258"/>
      <c r="B258"/>
      <c r="C258"/>
      <c r="D258"/>
      <c r="E258"/>
      <c r="F258"/>
      <c r="G258"/>
      <c r="H258"/>
      <c r="I258"/>
      <c r="J258"/>
      <c r="K258"/>
      <c r="L258"/>
      <c r="M258"/>
      <c r="N258"/>
      <c r="O258"/>
      <c r="P258"/>
      <c r="Q258"/>
      <c r="R258"/>
      <c r="S258"/>
    </row>
    <row r="259" spans="1:19" x14ac:dyDescent="0.25">
      <c r="A259"/>
      <c r="B259"/>
      <c r="C259"/>
      <c r="D259"/>
      <c r="E259"/>
      <c r="F259"/>
      <c r="G259"/>
      <c r="H259"/>
      <c r="I259"/>
      <c r="J259"/>
      <c r="K259"/>
      <c r="L259"/>
      <c r="M259"/>
      <c r="N259"/>
      <c r="O259"/>
      <c r="P259"/>
      <c r="Q259"/>
      <c r="R259"/>
      <c r="S259"/>
    </row>
    <row r="260" spans="1:19" x14ac:dyDescent="0.25">
      <c r="A260"/>
      <c r="B260"/>
      <c r="C260"/>
      <c r="D260"/>
      <c r="E260"/>
      <c r="F260"/>
      <c r="G260"/>
      <c r="H260"/>
      <c r="I260"/>
      <c r="J260"/>
      <c r="K260"/>
      <c r="L260"/>
      <c r="M260"/>
      <c r="N260"/>
      <c r="O260"/>
      <c r="P260"/>
      <c r="Q260"/>
      <c r="R260"/>
      <c r="S260"/>
    </row>
    <row r="261" spans="1:19" x14ac:dyDescent="0.25">
      <c r="A261"/>
      <c r="B261"/>
      <c r="C261"/>
      <c r="D261"/>
      <c r="E261"/>
      <c r="F261"/>
      <c r="G261"/>
      <c r="H261"/>
      <c r="I261"/>
      <c r="J261"/>
      <c r="K261"/>
      <c r="L261"/>
      <c r="M261"/>
      <c r="N261"/>
      <c r="O261"/>
      <c r="P261"/>
      <c r="Q261"/>
      <c r="R261"/>
      <c r="S261"/>
    </row>
    <row r="262" spans="1:19" x14ac:dyDescent="0.25">
      <c r="A262"/>
      <c r="B262"/>
      <c r="C262"/>
      <c r="D262"/>
      <c r="E262"/>
      <c r="F262"/>
      <c r="G262"/>
      <c r="H262"/>
      <c r="I262"/>
      <c r="J262"/>
      <c r="K262"/>
      <c r="L262"/>
      <c r="M262"/>
      <c r="N262"/>
      <c r="O262"/>
      <c r="P262"/>
      <c r="Q262"/>
      <c r="R262"/>
      <c r="S262"/>
    </row>
    <row r="263" spans="1:19" x14ac:dyDescent="0.25">
      <c r="A263"/>
      <c r="B263"/>
      <c r="C263"/>
      <c r="D263"/>
      <c r="E263"/>
      <c r="F263"/>
      <c r="G263"/>
      <c r="H263"/>
      <c r="I263"/>
      <c r="J263"/>
      <c r="K263"/>
      <c r="L263"/>
      <c r="M263"/>
      <c r="N263"/>
      <c r="O263"/>
      <c r="P263"/>
      <c r="Q263"/>
      <c r="R263"/>
      <c r="S263"/>
    </row>
    <row r="264" spans="1:19" x14ac:dyDescent="0.25">
      <c r="A264"/>
      <c r="B264"/>
      <c r="C264"/>
      <c r="D264"/>
      <c r="E264"/>
      <c r="F264"/>
      <c r="G264"/>
      <c r="H264"/>
      <c r="I264"/>
      <c r="J264"/>
      <c r="K264"/>
      <c r="L264"/>
      <c r="M264"/>
      <c r="N264"/>
      <c r="O264"/>
      <c r="P264"/>
      <c r="Q264"/>
      <c r="R264"/>
      <c r="S264"/>
    </row>
    <row r="265" spans="1:19" x14ac:dyDescent="0.25">
      <c r="A265"/>
      <c r="B265"/>
      <c r="C265"/>
      <c r="D265"/>
      <c r="E265"/>
      <c r="F265"/>
      <c r="G265"/>
      <c r="H265"/>
      <c r="I265"/>
      <c r="J265"/>
      <c r="K265"/>
      <c r="L265"/>
      <c r="M265"/>
      <c r="N265"/>
      <c r="O265"/>
      <c r="P265"/>
      <c r="Q265"/>
      <c r="R265"/>
      <c r="S265"/>
    </row>
    <row r="266" spans="1:19" x14ac:dyDescent="0.25">
      <c r="A266"/>
      <c r="B266"/>
      <c r="C266"/>
      <c r="D266"/>
      <c r="E266"/>
      <c r="F266"/>
      <c r="G266"/>
      <c r="H266"/>
      <c r="I266"/>
      <c r="J266"/>
      <c r="K266"/>
      <c r="L266"/>
      <c r="M266"/>
      <c r="N266"/>
      <c r="O266"/>
      <c r="P266"/>
      <c r="Q266"/>
      <c r="R266"/>
      <c r="S266"/>
    </row>
    <row r="267" spans="1:19" x14ac:dyDescent="0.25">
      <c r="A267"/>
      <c r="B267"/>
      <c r="C267"/>
      <c r="D267"/>
      <c r="E267"/>
      <c r="F267"/>
      <c r="G267"/>
      <c r="H267"/>
      <c r="I267"/>
      <c r="J267"/>
      <c r="K267"/>
      <c r="L267"/>
      <c r="M267"/>
      <c r="N267"/>
      <c r="O267"/>
      <c r="P267"/>
      <c r="Q267"/>
      <c r="R267"/>
      <c r="S267"/>
    </row>
    <row r="268" spans="1:19" x14ac:dyDescent="0.25">
      <c r="A268"/>
      <c r="B268"/>
      <c r="C268"/>
      <c r="D268"/>
      <c r="E268"/>
      <c r="F268"/>
      <c r="G268"/>
      <c r="H268"/>
      <c r="I268"/>
      <c r="J268"/>
      <c r="K268"/>
      <c r="L268"/>
      <c r="M268"/>
      <c r="N268"/>
      <c r="O268"/>
      <c r="P268"/>
      <c r="Q268"/>
      <c r="R268"/>
      <c r="S268"/>
    </row>
    <row r="269" spans="1:19" x14ac:dyDescent="0.25">
      <c r="A269"/>
      <c r="B269"/>
      <c r="C269"/>
      <c r="D269"/>
      <c r="E269"/>
      <c r="F269"/>
      <c r="G269"/>
      <c r="H269"/>
      <c r="I269"/>
      <c r="J269"/>
      <c r="K269"/>
      <c r="L269"/>
      <c r="M269"/>
      <c r="N269"/>
      <c r="O269"/>
      <c r="P269"/>
      <c r="Q269"/>
      <c r="R269"/>
      <c r="S269"/>
    </row>
    <row r="270" spans="1:19" x14ac:dyDescent="0.25">
      <c r="A270"/>
      <c r="B270"/>
      <c r="C270"/>
      <c r="D270"/>
      <c r="E270"/>
      <c r="F270"/>
      <c r="G270"/>
      <c r="H270"/>
      <c r="I270"/>
      <c r="J270"/>
      <c r="K270"/>
      <c r="L270"/>
      <c r="M270"/>
      <c r="N270"/>
      <c r="O270"/>
      <c r="P270"/>
      <c r="Q270"/>
      <c r="R270"/>
      <c r="S270"/>
    </row>
    <row r="271" spans="1:19" x14ac:dyDescent="0.25">
      <c r="A271"/>
      <c r="B271"/>
      <c r="C271"/>
      <c r="D271"/>
      <c r="E271"/>
      <c r="F271"/>
      <c r="G271"/>
      <c r="H271"/>
      <c r="I271"/>
      <c r="J271"/>
      <c r="K271"/>
      <c r="L271"/>
      <c r="M271"/>
      <c r="N271"/>
      <c r="O271"/>
      <c r="P271"/>
      <c r="Q271"/>
      <c r="R271"/>
      <c r="S271"/>
    </row>
    <row r="272" spans="1:19" x14ac:dyDescent="0.25">
      <c r="A272"/>
      <c r="B272"/>
      <c r="C272"/>
      <c r="D272"/>
      <c r="E272"/>
      <c r="F272"/>
      <c r="G272"/>
      <c r="H272"/>
      <c r="I272"/>
      <c r="J272"/>
      <c r="K272"/>
      <c r="L272"/>
      <c r="M272"/>
      <c r="N272"/>
      <c r="O272"/>
      <c r="P272"/>
      <c r="Q272"/>
      <c r="R272"/>
      <c r="S272"/>
    </row>
    <row r="273" spans="1:19" x14ac:dyDescent="0.25">
      <c r="A273"/>
      <c r="B273"/>
      <c r="C273"/>
      <c r="D273"/>
      <c r="E273"/>
      <c r="F273"/>
      <c r="G273"/>
      <c r="H273"/>
      <c r="I273"/>
      <c r="J273"/>
      <c r="K273"/>
      <c r="L273"/>
      <c r="M273"/>
      <c r="N273"/>
      <c r="O273"/>
      <c r="P273"/>
      <c r="Q273"/>
      <c r="R273"/>
      <c r="S273"/>
    </row>
    <row r="274" spans="1:19" x14ac:dyDescent="0.25">
      <c r="A274"/>
      <c r="B274"/>
      <c r="C274"/>
      <c r="D274"/>
      <c r="E274"/>
      <c r="F274"/>
      <c r="G274"/>
      <c r="H274"/>
      <c r="I274"/>
      <c r="J274"/>
      <c r="K274"/>
      <c r="L274"/>
      <c r="M274"/>
      <c r="N274"/>
      <c r="O274"/>
      <c r="P274"/>
      <c r="Q274"/>
      <c r="R274"/>
      <c r="S274"/>
    </row>
    <row r="275" spans="1:19" x14ac:dyDescent="0.25">
      <c r="A275"/>
      <c r="B275"/>
      <c r="C275"/>
      <c r="D275"/>
      <c r="E275"/>
      <c r="F275"/>
      <c r="G275"/>
      <c r="H275"/>
      <c r="I275"/>
      <c r="J275"/>
      <c r="K275"/>
      <c r="L275"/>
      <c r="M275"/>
      <c r="N275"/>
      <c r="O275"/>
      <c r="P275"/>
      <c r="Q275"/>
      <c r="R275"/>
      <c r="S275"/>
    </row>
    <row r="276" spans="1:19" x14ac:dyDescent="0.25">
      <c r="A276"/>
      <c r="B276"/>
      <c r="C276"/>
      <c r="D276"/>
      <c r="E276"/>
      <c r="F276"/>
      <c r="G276"/>
      <c r="H276"/>
      <c r="I276"/>
      <c r="J276"/>
      <c r="K276"/>
      <c r="L276"/>
      <c r="M276"/>
      <c r="N276"/>
      <c r="O276"/>
      <c r="P276"/>
      <c r="Q276"/>
      <c r="R276"/>
      <c r="S276"/>
    </row>
    <row r="277" spans="1:19" x14ac:dyDescent="0.25">
      <c r="A277"/>
      <c r="B277"/>
      <c r="C277"/>
      <c r="D277"/>
      <c r="E277"/>
      <c r="F277"/>
      <c r="G277"/>
      <c r="H277"/>
      <c r="I277"/>
      <c r="J277"/>
      <c r="K277"/>
      <c r="L277"/>
      <c r="M277"/>
      <c r="N277"/>
      <c r="O277"/>
      <c r="P277"/>
      <c r="Q277"/>
      <c r="R277"/>
      <c r="S277"/>
    </row>
    <row r="278" spans="1:19" x14ac:dyDescent="0.25">
      <c r="A278"/>
      <c r="B278"/>
      <c r="C278"/>
      <c r="D278"/>
      <c r="E278"/>
      <c r="F278"/>
      <c r="G278"/>
      <c r="H278"/>
      <c r="I278"/>
      <c r="J278"/>
      <c r="K278"/>
      <c r="L278"/>
      <c r="M278"/>
      <c r="N278"/>
      <c r="O278"/>
      <c r="P278"/>
      <c r="Q278"/>
      <c r="R278"/>
      <c r="S278"/>
    </row>
    <row r="279" spans="1:19" x14ac:dyDescent="0.25">
      <c r="A279"/>
      <c r="B279"/>
      <c r="C279"/>
      <c r="D279"/>
      <c r="E279"/>
      <c r="F279"/>
      <c r="G279"/>
      <c r="H279"/>
      <c r="I279"/>
      <c r="J279"/>
      <c r="K279"/>
      <c r="L279"/>
      <c r="M279"/>
      <c r="N279"/>
      <c r="O279"/>
      <c r="P279"/>
      <c r="Q279"/>
      <c r="R279"/>
      <c r="S279"/>
    </row>
    <row r="280" spans="1:19" x14ac:dyDescent="0.25">
      <c r="A280"/>
      <c r="B280"/>
      <c r="C280"/>
      <c r="D280"/>
      <c r="E280"/>
      <c r="F280"/>
      <c r="G280"/>
      <c r="H280"/>
      <c r="I280"/>
      <c r="J280"/>
      <c r="K280"/>
      <c r="L280"/>
      <c r="M280"/>
      <c r="N280"/>
      <c r="O280"/>
      <c r="P280"/>
      <c r="Q280"/>
      <c r="R280"/>
      <c r="S280"/>
    </row>
    <row r="281" spans="1:19" x14ac:dyDescent="0.25">
      <c r="A281"/>
      <c r="B281"/>
      <c r="C281"/>
      <c r="D281"/>
      <c r="E281"/>
      <c r="F281"/>
      <c r="G281"/>
      <c r="H281"/>
      <c r="I281"/>
      <c r="J281"/>
      <c r="K281"/>
      <c r="L281"/>
      <c r="M281"/>
      <c r="N281"/>
      <c r="O281"/>
      <c r="P281"/>
      <c r="Q281"/>
      <c r="R281"/>
      <c r="S281"/>
    </row>
    <row r="282" spans="1:19" x14ac:dyDescent="0.25">
      <c r="A282"/>
      <c r="B282"/>
      <c r="C282"/>
      <c r="D282"/>
      <c r="E282"/>
      <c r="F282"/>
      <c r="G282"/>
      <c r="H282"/>
      <c r="I282"/>
      <c r="J282"/>
      <c r="K282"/>
      <c r="L282"/>
      <c r="M282"/>
      <c r="N282"/>
      <c r="O282"/>
      <c r="P282"/>
      <c r="Q282"/>
      <c r="R282"/>
      <c r="S282"/>
    </row>
    <row r="283" spans="1:19" x14ac:dyDescent="0.25">
      <c r="A283"/>
      <c r="B283"/>
      <c r="C283"/>
      <c r="D283"/>
      <c r="E283"/>
      <c r="F283"/>
      <c r="G283"/>
      <c r="H283"/>
      <c r="I283"/>
      <c r="J283"/>
      <c r="K283"/>
      <c r="L283"/>
      <c r="M283"/>
      <c r="N283"/>
      <c r="O283"/>
      <c r="P283"/>
      <c r="Q283"/>
      <c r="R283"/>
      <c r="S283"/>
    </row>
    <row r="284" spans="1:19" x14ac:dyDescent="0.25">
      <c r="A284"/>
      <c r="B284"/>
      <c r="C284"/>
      <c r="D284"/>
      <c r="E284"/>
      <c r="F284"/>
      <c r="G284"/>
      <c r="H284"/>
      <c r="I284"/>
      <c r="J284"/>
      <c r="K284"/>
      <c r="L284"/>
      <c r="M284"/>
      <c r="N284"/>
      <c r="O284"/>
      <c r="P284"/>
      <c r="Q284"/>
      <c r="R284"/>
      <c r="S284"/>
    </row>
    <row r="285" spans="1:19" x14ac:dyDescent="0.25">
      <c r="A285"/>
      <c r="B285"/>
      <c r="C285"/>
      <c r="D285"/>
      <c r="E285"/>
      <c r="F285"/>
      <c r="G285"/>
      <c r="H285"/>
      <c r="I285"/>
      <c r="J285"/>
      <c r="K285"/>
      <c r="L285"/>
      <c r="M285"/>
      <c r="N285"/>
      <c r="O285"/>
      <c r="P285"/>
      <c r="Q285"/>
      <c r="R285"/>
      <c r="S285"/>
    </row>
    <row r="286" spans="1:19" x14ac:dyDescent="0.25">
      <c r="A286"/>
      <c r="B286"/>
      <c r="C286"/>
      <c r="D286"/>
      <c r="E286"/>
      <c r="F286"/>
      <c r="G286"/>
      <c r="H286"/>
      <c r="I286"/>
      <c r="J286"/>
      <c r="K286"/>
      <c r="L286"/>
      <c r="M286"/>
      <c r="N286"/>
      <c r="O286"/>
      <c r="P286"/>
      <c r="Q286"/>
      <c r="R286"/>
      <c r="S286"/>
    </row>
    <row r="287" spans="1:19" x14ac:dyDescent="0.25">
      <c r="A287"/>
      <c r="B287"/>
      <c r="C287"/>
      <c r="D287"/>
      <c r="E287"/>
      <c r="F287"/>
      <c r="G287"/>
      <c r="H287"/>
      <c r="I287"/>
      <c r="J287"/>
      <c r="K287"/>
      <c r="L287"/>
      <c r="M287"/>
      <c r="N287"/>
      <c r="O287"/>
      <c r="P287"/>
      <c r="Q287"/>
      <c r="R287"/>
      <c r="S287"/>
    </row>
    <row r="288" spans="1:19" x14ac:dyDescent="0.25">
      <c r="A288"/>
      <c r="B288"/>
      <c r="C288"/>
      <c r="D288"/>
      <c r="E288"/>
      <c r="F288"/>
      <c r="G288"/>
      <c r="H288"/>
      <c r="I288"/>
      <c r="J288"/>
      <c r="K288"/>
      <c r="L288"/>
      <c r="M288"/>
      <c r="N288"/>
      <c r="O288"/>
      <c r="P288"/>
      <c r="Q288"/>
      <c r="R288"/>
      <c r="S288"/>
    </row>
    <row r="289" spans="1:19" x14ac:dyDescent="0.25">
      <c r="A289"/>
      <c r="B289"/>
      <c r="C289"/>
      <c r="D289"/>
      <c r="E289"/>
      <c r="F289"/>
      <c r="G289"/>
      <c r="H289"/>
      <c r="I289"/>
      <c r="J289"/>
      <c r="K289"/>
      <c r="L289"/>
      <c r="M289"/>
      <c r="N289"/>
      <c r="O289"/>
      <c r="P289"/>
      <c r="Q289"/>
      <c r="R289"/>
      <c r="S289"/>
    </row>
    <row r="290" spans="1:19" x14ac:dyDescent="0.25">
      <c r="A290"/>
      <c r="B290"/>
      <c r="C290"/>
      <c r="D290"/>
      <c r="E290"/>
      <c r="F290"/>
      <c r="G290"/>
      <c r="H290"/>
      <c r="I290"/>
      <c r="J290"/>
      <c r="K290"/>
      <c r="L290"/>
      <c r="M290"/>
      <c r="N290"/>
      <c r="O290"/>
      <c r="P290"/>
      <c r="Q290"/>
      <c r="R290"/>
      <c r="S290"/>
    </row>
    <row r="291" spans="1:19" x14ac:dyDescent="0.25">
      <c r="A291"/>
      <c r="B291"/>
      <c r="C291"/>
      <c r="D291"/>
      <c r="E291"/>
      <c r="F291"/>
      <c r="G291"/>
      <c r="H291"/>
      <c r="I291"/>
      <c r="J291"/>
      <c r="K291"/>
      <c r="L291"/>
      <c r="M291"/>
      <c r="N291"/>
      <c r="O291"/>
      <c r="P291"/>
      <c r="Q291"/>
      <c r="R291"/>
      <c r="S291"/>
    </row>
    <row r="292" spans="1:19" x14ac:dyDescent="0.25">
      <c r="A292"/>
      <c r="B292"/>
      <c r="C292"/>
      <c r="D292"/>
      <c r="E292"/>
      <c r="F292"/>
      <c r="G292"/>
      <c r="H292"/>
      <c r="I292"/>
      <c r="J292"/>
      <c r="K292"/>
      <c r="L292"/>
      <c r="M292"/>
      <c r="N292"/>
      <c r="O292"/>
      <c r="P292"/>
      <c r="Q292"/>
      <c r="R292"/>
      <c r="S292"/>
    </row>
    <row r="293" spans="1:19" x14ac:dyDescent="0.25">
      <c r="A293"/>
      <c r="B293"/>
      <c r="C293"/>
      <c r="D293"/>
      <c r="E293"/>
      <c r="F293"/>
      <c r="G293"/>
      <c r="H293"/>
      <c r="I293"/>
      <c r="J293"/>
      <c r="K293"/>
      <c r="L293"/>
      <c r="M293"/>
      <c r="N293"/>
      <c r="O293"/>
      <c r="P293"/>
      <c r="Q293"/>
      <c r="R293"/>
      <c r="S293"/>
    </row>
    <row r="294" spans="1:19" x14ac:dyDescent="0.25">
      <c r="A294"/>
      <c r="B294"/>
      <c r="C294"/>
      <c r="D294"/>
      <c r="E294"/>
      <c r="F294"/>
      <c r="G294"/>
      <c r="H294"/>
      <c r="I294"/>
      <c r="J294"/>
      <c r="K294"/>
      <c r="L294"/>
      <c r="M294"/>
      <c r="N294"/>
      <c r="O294"/>
      <c r="P294"/>
      <c r="Q294"/>
      <c r="R294"/>
      <c r="S294"/>
    </row>
    <row r="295" spans="1:19" x14ac:dyDescent="0.25">
      <c r="A295"/>
      <c r="B295"/>
      <c r="C295"/>
      <c r="D295"/>
      <c r="E295"/>
      <c r="F295"/>
      <c r="G295"/>
      <c r="H295"/>
      <c r="I295"/>
      <c r="J295"/>
      <c r="K295"/>
      <c r="L295"/>
      <c r="M295"/>
      <c r="N295"/>
      <c r="O295"/>
      <c r="P295"/>
      <c r="Q295"/>
      <c r="R295"/>
      <c r="S295"/>
    </row>
    <row r="296" spans="1:19" x14ac:dyDescent="0.25">
      <c r="A296"/>
      <c r="B296"/>
      <c r="C296"/>
      <c r="D296"/>
      <c r="E296"/>
      <c r="F296"/>
      <c r="G296"/>
      <c r="H296"/>
      <c r="I296"/>
      <c r="J296"/>
      <c r="K296"/>
      <c r="L296"/>
      <c r="M296"/>
      <c r="N296"/>
      <c r="O296"/>
      <c r="P296"/>
      <c r="Q296"/>
      <c r="R296"/>
      <c r="S296"/>
    </row>
    <row r="297" spans="1:19" x14ac:dyDescent="0.25">
      <c r="A297"/>
      <c r="B297"/>
      <c r="C297"/>
      <c r="D297"/>
      <c r="E297"/>
      <c r="F297"/>
      <c r="G297"/>
      <c r="H297"/>
      <c r="I297"/>
      <c r="J297"/>
      <c r="K297"/>
      <c r="L297"/>
      <c r="M297"/>
      <c r="N297"/>
      <c r="O297"/>
      <c r="P297"/>
      <c r="Q297"/>
      <c r="R297"/>
      <c r="S297"/>
    </row>
    <row r="298" spans="1:19" x14ac:dyDescent="0.25">
      <c r="A298"/>
      <c r="B298"/>
      <c r="C298"/>
      <c r="D298"/>
      <c r="E298"/>
      <c r="F298"/>
      <c r="G298"/>
      <c r="H298"/>
      <c r="I298"/>
      <c r="J298"/>
      <c r="K298"/>
      <c r="L298"/>
      <c r="M298"/>
      <c r="N298"/>
      <c r="O298"/>
      <c r="P298"/>
      <c r="Q298"/>
      <c r="R298"/>
      <c r="S298"/>
    </row>
    <row r="299" spans="1:19" x14ac:dyDescent="0.25">
      <c r="A299"/>
      <c r="B299"/>
      <c r="C299"/>
      <c r="D299"/>
      <c r="E299"/>
      <c r="F299"/>
      <c r="G299"/>
      <c r="H299"/>
      <c r="I299"/>
      <c r="J299"/>
      <c r="K299"/>
      <c r="L299"/>
      <c r="M299"/>
      <c r="N299"/>
      <c r="O299"/>
      <c r="P299"/>
      <c r="Q299"/>
      <c r="R299"/>
      <c r="S299"/>
    </row>
    <row r="300" spans="1:19" x14ac:dyDescent="0.25">
      <c r="A300"/>
      <c r="B300"/>
      <c r="C300"/>
      <c r="D300"/>
      <c r="E300"/>
      <c r="F300"/>
      <c r="G300"/>
      <c r="H300"/>
      <c r="I300"/>
      <c r="J300"/>
      <c r="K300"/>
      <c r="L300"/>
      <c r="M300"/>
      <c r="N300"/>
      <c r="O300"/>
      <c r="P300"/>
      <c r="Q300"/>
      <c r="R300"/>
      <c r="S300"/>
    </row>
    <row r="301" spans="1:19" x14ac:dyDescent="0.25">
      <c r="A301"/>
      <c r="B301"/>
      <c r="C301"/>
      <c r="D301"/>
      <c r="E301"/>
      <c r="F301"/>
      <c r="G301"/>
      <c r="H301"/>
      <c r="I301"/>
      <c r="J301"/>
      <c r="K301"/>
      <c r="L301"/>
      <c r="M301"/>
      <c r="N301"/>
      <c r="O301"/>
      <c r="P301"/>
      <c r="Q301"/>
      <c r="R301"/>
      <c r="S301"/>
    </row>
    <row r="302" spans="1:19" x14ac:dyDescent="0.25">
      <c r="A302"/>
      <c r="B302"/>
      <c r="C302"/>
      <c r="D302"/>
      <c r="E302"/>
      <c r="F302"/>
      <c r="G302"/>
      <c r="H302"/>
      <c r="I302"/>
      <c r="J302"/>
      <c r="K302"/>
      <c r="L302"/>
      <c r="M302"/>
      <c r="N302"/>
      <c r="O302"/>
      <c r="P302"/>
      <c r="Q302"/>
      <c r="R302"/>
      <c r="S302"/>
    </row>
    <row r="303" spans="1:19" x14ac:dyDescent="0.25">
      <c r="A303"/>
      <c r="B303"/>
      <c r="C303"/>
      <c r="D303"/>
      <c r="E303"/>
      <c r="F303"/>
      <c r="G303"/>
      <c r="H303"/>
      <c r="I303"/>
      <c r="J303"/>
      <c r="K303"/>
      <c r="L303"/>
      <c r="M303"/>
      <c r="N303"/>
      <c r="O303"/>
      <c r="P303"/>
      <c r="Q303"/>
      <c r="R303"/>
      <c r="S303"/>
    </row>
    <row r="304" spans="1:19" x14ac:dyDescent="0.25">
      <c r="A304"/>
      <c r="B304"/>
      <c r="C304"/>
      <c r="D304"/>
      <c r="E304"/>
      <c r="F304"/>
      <c r="G304"/>
      <c r="H304"/>
      <c r="I304"/>
      <c r="J304"/>
      <c r="K304"/>
      <c r="L304"/>
      <c r="M304"/>
      <c r="N304"/>
      <c r="O304"/>
      <c r="P304"/>
      <c r="Q304"/>
      <c r="R304"/>
      <c r="S304"/>
    </row>
    <row r="305" spans="1:19" x14ac:dyDescent="0.25">
      <c r="A305"/>
      <c r="B305"/>
      <c r="C305"/>
      <c r="D305"/>
      <c r="E305"/>
      <c r="F305"/>
      <c r="G305"/>
      <c r="H305"/>
      <c r="I305"/>
      <c r="J305"/>
      <c r="K305"/>
      <c r="L305"/>
      <c r="M305"/>
      <c r="N305"/>
      <c r="O305"/>
      <c r="P305"/>
      <c r="Q305"/>
      <c r="R305"/>
      <c r="S305"/>
    </row>
    <row r="306" spans="1:19" x14ac:dyDescent="0.25">
      <c r="A306"/>
      <c r="B306"/>
      <c r="C306"/>
      <c r="D306"/>
      <c r="E306"/>
      <c r="F306"/>
      <c r="G306"/>
      <c r="H306"/>
      <c r="I306"/>
      <c r="J306"/>
      <c r="K306"/>
      <c r="L306"/>
      <c r="M306"/>
      <c r="N306"/>
      <c r="O306"/>
      <c r="P306"/>
      <c r="Q306"/>
      <c r="R306"/>
      <c r="S306"/>
    </row>
    <row r="307" spans="1:19" x14ac:dyDescent="0.25">
      <c r="A307"/>
      <c r="B307"/>
      <c r="C307"/>
      <c r="D307"/>
      <c r="E307"/>
      <c r="F307"/>
      <c r="G307"/>
      <c r="H307"/>
      <c r="I307"/>
      <c r="J307"/>
      <c r="K307"/>
      <c r="L307"/>
      <c r="M307"/>
      <c r="N307"/>
      <c r="O307"/>
      <c r="P307"/>
      <c r="Q307"/>
      <c r="R307"/>
      <c r="S307"/>
    </row>
    <row r="308" spans="1:19" x14ac:dyDescent="0.25">
      <c r="A308"/>
      <c r="B308"/>
      <c r="C308"/>
      <c r="D308"/>
      <c r="E308"/>
      <c r="F308"/>
      <c r="G308"/>
      <c r="H308"/>
      <c r="I308"/>
      <c r="J308"/>
      <c r="K308"/>
      <c r="L308"/>
      <c r="M308"/>
      <c r="N308"/>
      <c r="O308"/>
      <c r="P308"/>
      <c r="Q308"/>
      <c r="R308"/>
      <c r="S308"/>
    </row>
    <row r="309" spans="1:19" x14ac:dyDescent="0.25">
      <c r="A309"/>
      <c r="B309"/>
      <c r="C309"/>
      <c r="D309"/>
      <c r="E309"/>
      <c r="F309"/>
      <c r="G309"/>
      <c r="H309"/>
      <c r="I309"/>
      <c r="J309"/>
      <c r="K309"/>
      <c r="L309"/>
      <c r="M309"/>
      <c r="N309"/>
      <c r="O309"/>
      <c r="P309"/>
      <c r="Q309"/>
      <c r="R309"/>
      <c r="S309"/>
    </row>
    <row r="310" spans="1:19" x14ac:dyDescent="0.25">
      <c r="A310"/>
      <c r="B310"/>
      <c r="C310"/>
      <c r="D310"/>
      <c r="E310"/>
      <c r="F310"/>
      <c r="G310"/>
      <c r="H310"/>
      <c r="I310"/>
      <c r="J310"/>
      <c r="K310"/>
      <c r="L310"/>
      <c r="M310"/>
      <c r="N310"/>
      <c r="O310"/>
      <c r="P310"/>
      <c r="Q310"/>
      <c r="R310"/>
      <c r="S310"/>
    </row>
    <row r="311" spans="1:19" x14ac:dyDescent="0.25">
      <c r="A311"/>
      <c r="B311"/>
      <c r="C311"/>
      <c r="D311"/>
      <c r="E311"/>
      <c r="F311"/>
      <c r="G311"/>
      <c r="H311"/>
      <c r="I311"/>
      <c r="J311"/>
      <c r="K311"/>
      <c r="L311"/>
      <c r="M311"/>
      <c r="N311"/>
      <c r="O311"/>
      <c r="P311"/>
      <c r="Q311"/>
      <c r="R311"/>
      <c r="S311"/>
    </row>
    <row r="312" spans="1:19" x14ac:dyDescent="0.25">
      <c r="A312"/>
      <c r="B312"/>
      <c r="C312"/>
      <c r="D312"/>
      <c r="E312"/>
      <c r="F312"/>
      <c r="G312"/>
      <c r="H312"/>
      <c r="I312"/>
      <c r="J312"/>
      <c r="K312"/>
      <c r="L312"/>
      <c r="M312"/>
      <c r="N312"/>
      <c r="O312"/>
      <c r="P312"/>
      <c r="Q312"/>
      <c r="R312"/>
      <c r="S312"/>
    </row>
    <row r="313" spans="1:19" x14ac:dyDescent="0.25">
      <c r="A313"/>
      <c r="B313"/>
      <c r="C313"/>
      <c r="D313"/>
      <c r="E313"/>
      <c r="F313"/>
      <c r="G313"/>
      <c r="H313"/>
      <c r="I313"/>
      <c r="J313"/>
      <c r="K313"/>
      <c r="L313"/>
      <c r="M313"/>
      <c r="N313"/>
      <c r="O313"/>
      <c r="P313"/>
      <c r="Q313"/>
      <c r="R313"/>
      <c r="S313"/>
    </row>
    <row r="314" spans="1:19" x14ac:dyDescent="0.25">
      <c r="A314"/>
      <c r="B314"/>
      <c r="C314"/>
      <c r="D314"/>
      <c r="E314"/>
      <c r="F314"/>
      <c r="G314"/>
      <c r="H314"/>
      <c r="I314"/>
      <c r="J314"/>
      <c r="K314"/>
      <c r="L314"/>
      <c r="M314"/>
      <c r="N314"/>
      <c r="O314"/>
      <c r="P314"/>
      <c r="Q314"/>
      <c r="R314"/>
      <c r="S314"/>
    </row>
    <row r="315" spans="1:19" x14ac:dyDescent="0.25">
      <c r="A315"/>
      <c r="B315"/>
      <c r="C315"/>
      <c r="D315"/>
      <c r="E315"/>
      <c r="F315"/>
      <c r="G315"/>
      <c r="H315"/>
      <c r="I315"/>
      <c r="J315"/>
      <c r="K315"/>
      <c r="L315"/>
      <c r="M315"/>
      <c r="N315"/>
      <c r="O315"/>
      <c r="P315"/>
      <c r="Q315"/>
      <c r="R315"/>
      <c r="S315"/>
    </row>
    <row r="316" spans="1:19" x14ac:dyDescent="0.25">
      <c r="A316"/>
      <c r="B316"/>
      <c r="C316"/>
      <c r="D316"/>
      <c r="E316"/>
      <c r="F316"/>
      <c r="G316"/>
      <c r="H316"/>
      <c r="I316"/>
      <c r="J316"/>
      <c r="K316"/>
      <c r="L316"/>
      <c r="M316"/>
      <c r="N316"/>
      <c r="O316"/>
      <c r="P316"/>
      <c r="Q316"/>
      <c r="R316"/>
      <c r="S316"/>
    </row>
    <row r="317" spans="1:19" x14ac:dyDescent="0.25">
      <c r="A317"/>
      <c r="B317"/>
      <c r="C317"/>
      <c r="D317"/>
      <c r="E317"/>
      <c r="F317"/>
      <c r="G317"/>
      <c r="H317"/>
      <c r="I317"/>
      <c r="J317"/>
      <c r="K317"/>
      <c r="L317"/>
      <c r="M317"/>
      <c r="N317"/>
      <c r="O317"/>
      <c r="P317"/>
      <c r="Q317"/>
      <c r="R317"/>
      <c r="S317"/>
    </row>
    <row r="318" spans="1:19" x14ac:dyDescent="0.25">
      <c r="A318"/>
      <c r="B318"/>
      <c r="C318"/>
      <c r="D318"/>
      <c r="E318"/>
      <c r="F318"/>
      <c r="G318"/>
      <c r="H318"/>
      <c r="I318"/>
      <c r="J318"/>
      <c r="K318"/>
      <c r="L318"/>
      <c r="M318"/>
      <c r="N318"/>
      <c r="O318"/>
      <c r="P318"/>
      <c r="Q318"/>
      <c r="R318"/>
      <c r="S318"/>
    </row>
    <row r="319" spans="1:19" x14ac:dyDescent="0.25">
      <c r="A319"/>
      <c r="B319"/>
      <c r="C319"/>
      <c r="D319"/>
      <c r="E319"/>
      <c r="F319"/>
      <c r="G319"/>
      <c r="H319"/>
      <c r="I319"/>
      <c r="J319"/>
      <c r="K319"/>
      <c r="L319"/>
      <c r="M319"/>
      <c r="N319"/>
      <c r="O319"/>
      <c r="P319"/>
      <c r="Q319"/>
      <c r="R319"/>
      <c r="S319"/>
    </row>
    <row r="320" spans="1:19" x14ac:dyDescent="0.25">
      <c r="A320"/>
      <c r="B320"/>
      <c r="C320"/>
      <c r="D320"/>
      <c r="E320"/>
      <c r="F320"/>
      <c r="G320"/>
      <c r="H320"/>
      <c r="I320"/>
      <c r="J320"/>
      <c r="K320"/>
      <c r="L320"/>
      <c r="M320"/>
      <c r="N320"/>
      <c r="O320"/>
      <c r="P320"/>
      <c r="Q320"/>
      <c r="R320"/>
      <c r="S320"/>
    </row>
    <row r="321" spans="1:19" x14ac:dyDescent="0.25">
      <c r="A321"/>
      <c r="B321"/>
      <c r="C321"/>
      <c r="D321"/>
      <c r="E321"/>
      <c r="F321"/>
      <c r="G321"/>
      <c r="H321"/>
      <c r="I321"/>
      <c r="J321"/>
      <c r="K321"/>
      <c r="L321"/>
      <c r="M321"/>
      <c r="N321"/>
      <c r="O321"/>
      <c r="P321"/>
      <c r="Q321"/>
      <c r="R321"/>
      <c r="S321"/>
    </row>
    <row r="322" spans="1:19" x14ac:dyDescent="0.25">
      <c r="A322"/>
      <c r="B322"/>
      <c r="C322"/>
      <c r="D322"/>
      <c r="E322"/>
      <c r="F322"/>
      <c r="G322"/>
      <c r="H322"/>
      <c r="I322"/>
      <c r="J322"/>
      <c r="K322"/>
      <c r="L322"/>
      <c r="M322"/>
      <c r="N322"/>
      <c r="O322"/>
      <c r="P322"/>
      <c r="Q322"/>
      <c r="R322"/>
      <c r="S322"/>
    </row>
    <row r="323" spans="1:19" x14ac:dyDescent="0.25">
      <c r="A323"/>
      <c r="B323"/>
      <c r="C323"/>
      <c r="D323"/>
      <c r="E323"/>
      <c r="F323"/>
      <c r="G323"/>
      <c r="H323"/>
      <c r="I323"/>
      <c r="J323"/>
      <c r="K323"/>
      <c r="L323"/>
      <c r="M323"/>
      <c r="N323"/>
      <c r="O323"/>
      <c r="P323"/>
      <c r="Q323"/>
      <c r="R323"/>
      <c r="S323"/>
    </row>
    <row r="324" spans="1:19" x14ac:dyDescent="0.25">
      <c r="A324"/>
      <c r="B324"/>
      <c r="C324"/>
      <c r="D324"/>
      <c r="E324"/>
      <c r="F324"/>
      <c r="G324"/>
      <c r="H324"/>
      <c r="I324"/>
      <c r="J324"/>
      <c r="K324"/>
      <c r="L324"/>
      <c r="M324"/>
      <c r="N324"/>
      <c r="O324"/>
      <c r="P324"/>
      <c r="Q324"/>
      <c r="R324"/>
      <c r="S324"/>
    </row>
    <row r="325" spans="1:19" x14ac:dyDescent="0.25">
      <c r="A325"/>
      <c r="B325"/>
      <c r="C325"/>
      <c r="D325"/>
      <c r="E325"/>
      <c r="F325"/>
      <c r="G325"/>
      <c r="H325"/>
      <c r="I325"/>
      <c r="J325"/>
      <c r="K325"/>
      <c r="L325"/>
      <c r="M325"/>
      <c r="N325"/>
      <c r="O325"/>
      <c r="P325"/>
      <c r="Q325"/>
      <c r="R325"/>
      <c r="S325"/>
    </row>
    <row r="326" spans="1:19" x14ac:dyDescent="0.25">
      <c r="A326"/>
      <c r="B326"/>
      <c r="C326"/>
      <c r="D326"/>
      <c r="E326"/>
      <c r="F326"/>
      <c r="G326"/>
      <c r="H326"/>
      <c r="I326"/>
      <c r="J326"/>
      <c r="K326"/>
      <c r="L326"/>
      <c r="M326"/>
      <c r="N326"/>
      <c r="O326"/>
      <c r="P326"/>
      <c r="Q326"/>
      <c r="R326"/>
      <c r="S326"/>
    </row>
    <row r="327" spans="1:19" x14ac:dyDescent="0.25">
      <c r="A327"/>
      <c r="B327"/>
      <c r="C327"/>
      <c r="D327"/>
      <c r="E327"/>
      <c r="F327"/>
      <c r="G327"/>
      <c r="H327"/>
      <c r="I327"/>
      <c r="J327"/>
      <c r="K327"/>
      <c r="L327"/>
      <c r="M327"/>
      <c r="N327"/>
      <c r="O327"/>
      <c r="P327"/>
      <c r="Q327"/>
      <c r="R327"/>
      <c r="S327"/>
    </row>
    <row r="328" spans="1:19" x14ac:dyDescent="0.25">
      <c r="A328"/>
      <c r="B328"/>
      <c r="C328"/>
      <c r="D328"/>
      <c r="E328"/>
      <c r="F328"/>
      <c r="G328"/>
      <c r="H328"/>
      <c r="I328"/>
      <c r="J328"/>
      <c r="K328"/>
      <c r="L328"/>
      <c r="M328"/>
      <c r="N328"/>
      <c r="O328"/>
      <c r="P328"/>
      <c r="Q328"/>
      <c r="R328"/>
      <c r="S328"/>
    </row>
    <row r="329" spans="1:19" x14ac:dyDescent="0.25">
      <c r="A329"/>
      <c r="B329"/>
      <c r="C329"/>
      <c r="D329"/>
      <c r="E329"/>
      <c r="F329"/>
      <c r="G329"/>
      <c r="H329"/>
      <c r="I329"/>
      <c r="J329"/>
      <c r="K329"/>
      <c r="L329"/>
      <c r="M329"/>
      <c r="N329"/>
      <c r="O329"/>
      <c r="P329"/>
      <c r="Q329"/>
      <c r="R329"/>
      <c r="S329"/>
    </row>
    <row r="330" spans="1:19" x14ac:dyDescent="0.25">
      <c r="A330"/>
      <c r="B330"/>
      <c r="C330"/>
      <c r="D330"/>
      <c r="E330"/>
      <c r="F330"/>
      <c r="G330"/>
      <c r="H330"/>
      <c r="I330"/>
      <c r="J330"/>
      <c r="K330"/>
      <c r="L330"/>
      <c r="M330"/>
      <c r="N330"/>
      <c r="O330"/>
      <c r="P330"/>
      <c r="Q330"/>
      <c r="R330"/>
      <c r="S330"/>
    </row>
    <row r="331" spans="1:19" x14ac:dyDescent="0.25">
      <c r="A331"/>
      <c r="B331"/>
      <c r="C331"/>
      <c r="D331"/>
      <c r="E331"/>
      <c r="F331"/>
      <c r="G331"/>
      <c r="H331"/>
      <c r="I331"/>
      <c r="J331"/>
      <c r="K331"/>
      <c r="L331"/>
      <c r="M331"/>
      <c r="N331"/>
      <c r="O331"/>
      <c r="P331"/>
      <c r="Q331"/>
      <c r="R331"/>
      <c r="S331"/>
    </row>
    <row r="332" spans="1:19" x14ac:dyDescent="0.25">
      <c r="A332"/>
      <c r="B332"/>
      <c r="C332"/>
      <c r="D332"/>
      <c r="E332"/>
      <c r="F332"/>
      <c r="G332"/>
      <c r="H332"/>
      <c r="I332"/>
      <c r="J332"/>
      <c r="K332"/>
      <c r="L332"/>
      <c r="M332"/>
      <c r="N332"/>
      <c r="O332"/>
      <c r="P332"/>
      <c r="Q332"/>
      <c r="R332"/>
      <c r="S332"/>
    </row>
    <row r="333" spans="1:19" x14ac:dyDescent="0.25">
      <c r="A333"/>
      <c r="B333"/>
      <c r="C333"/>
      <c r="D333"/>
      <c r="E333"/>
      <c r="F333"/>
      <c r="G333"/>
      <c r="H333"/>
      <c r="I333"/>
      <c r="J333"/>
      <c r="K333"/>
      <c r="L333"/>
      <c r="M333"/>
      <c r="N333"/>
      <c r="O333"/>
      <c r="P333"/>
      <c r="Q333"/>
      <c r="R333"/>
      <c r="S333"/>
    </row>
    <row r="334" spans="1:19" x14ac:dyDescent="0.25">
      <c r="A334"/>
      <c r="B334"/>
      <c r="C334"/>
      <c r="D334"/>
      <c r="E334"/>
      <c r="F334"/>
      <c r="G334"/>
      <c r="H334"/>
      <c r="I334"/>
      <c r="J334"/>
      <c r="K334"/>
      <c r="L334"/>
      <c r="M334"/>
      <c r="N334"/>
      <c r="O334"/>
      <c r="P334"/>
      <c r="Q334"/>
      <c r="R334"/>
      <c r="S334"/>
    </row>
    <row r="335" spans="1:19" x14ac:dyDescent="0.25">
      <c r="A335"/>
      <c r="B335"/>
      <c r="C335"/>
      <c r="D335"/>
      <c r="E335"/>
      <c r="F335"/>
      <c r="G335"/>
      <c r="H335"/>
      <c r="I335"/>
      <c r="J335"/>
      <c r="K335"/>
      <c r="L335"/>
      <c r="M335"/>
      <c r="N335"/>
      <c r="O335"/>
      <c r="P335"/>
      <c r="Q335"/>
      <c r="R335"/>
      <c r="S335"/>
    </row>
    <row r="336" spans="1:19" x14ac:dyDescent="0.25">
      <c r="A336"/>
      <c r="B336"/>
      <c r="C336"/>
      <c r="D336"/>
      <c r="E336"/>
      <c r="F336"/>
      <c r="G336"/>
      <c r="H336"/>
      <c r="I336"/>
      <c r="J336"/>
      <c r="K336"/>
      <c r="L336"/>
      <c r="M336"/>
      <c r="N336"/>
      <c r="O336"/>
      <c r="P336"/>
      <c r="Q336"/>
      <c r="R336"/>
      <c r="S336"/>
    </row>
    <row r="337" spans="1:19" x14ac:dyDescent="0.25">
      <c r="A337"/>
      <c r="B337"/>
      <c r="C337"/>
      <c r="D337"/>
      <c r="E337"/>
      <c r="F337"/>
      <c r="G337"/>
      <c r="H337"/>
      <c r="I337"/>
      <c r="J337"/>
      <c r="K337"/>
      <c r="L337"/>
      <c r="M337"/>
      <c r="N337"/>
      <c r="O337"/>
      <c r="P337"/>
      <c r="Q337"/>
      <c r="R337"/>
      <c r="S337"/>
    </row>
    <row r="338" spans="1:19" x14ac:dyDescent="0.25">
      <c r="A338"/>
      <c r="B338"/>
      <c r="C338"/>
      <c r="D338"/>
      <c r="E338"/>
      <c r="F338"/>
      <c r="G338"/>
      <c r="H338"/>
      <c r="I338"/>
      <c r="J338"/>
      <c r="K338"/>
      <c r="L338"/>
      <c r="M338"/>
      <c r="N338"/>
      <c r="O338"/>
      <c r="P338"/>
      <c r="Q338"/>
      <c r="R338"/>
      <c r="S338"/>
    </row>
    <row r="339" spans="1:19" x14ac:dyDescent="0.25">
      <c r="A339"/>
      <c r="B339"/>
      <c r="C339"/>
      <c r="D339"/>
      <c r="E339"/>
      <c r="F339"/>
      <c r="G339"/>
      <c r="H339"/>
      <c r="I339"/>
      <c r="J339"/>
      <c r="K339"/>
      <c r="L339"/>
      <c r="M339"/>
      <c r="N339"/>
      <c r="O339"/>
      <c r="P339"/>
      <c r="Q339"/>
      <c r="R339"/>
      <c r="S339"/>
    </row>
    <row r="340" spans="1:19" x14ac:dyDescent="0.25">
      <c r="A340"/>
      <c r="B340"/>
      <c r="C340"/>
      <c r="D340"/>
      <c r="E340"/>
      <c r="F340"/>
      <c r="G340"/>
      <c r="H340"/>
      <c r="I340"/>
      <c r="J340"/>
      <c r="K340"/>
      <c r="L340"/>
      <c r="M340"/>
      <c r="N340"/>
      <c r="O340"/>
      <c r="P340"/>
      <c r="Q340"/>
      <c r="R340"/>
      <c r="S340"/>
    </row>
    <row r="341" spans="1:19" x14ac:dyDescent="0.25">
      <c r="A341"/>
      <c r="B341"/>
      <c r="C341"/>
      <c r="D341"/>
      <c r="E341"/>
      <c r="F341"/>
      <c r="G341"/>
      <c r="H341"/>
      <c r="I341"/>
      <c r="J341"/>
      <c r="K341"/>
      <c r="L341"/>
      <c r="M341"/>
      <c r="N341"/>
      <c r="O341"/>
      <c r="P341"/>
      <c r="Q341"/>
      <c r="R341"/>
      <c r="S341"/>
    </row>
    <row r="342" spans="1:19" x14ac:dyDescent="0.25">
      <c r="A342"/>
      <c r="B342"/>
      <c r="C342"/>
      <c r="D342"/>
      <c r="E342"/>
      <c r="F342"/>
      <c r="G342"/>
      <c r="H342"/>
      <c r="I342"/>
      <c r="J342"/>
      <c r="K342"/>
      <c r="L342"/>
      <c r="M342"/>
      <c r="N342"/>
      <c r="O342"/>
      <c r="P342"/>
      <c r="Q342"/>
      <c r="R342"/>
      <c r="S342"/>
    </row>
    <row r="343" spans="1:19" x14ac:dyDescent="0.25">
      <c r="A343"/>
      <c r="B343"/>
      <c r="C343"/>
      <c r="D343"/>
      <c r="E343"/>
      <c r="F343"/>
      <c r="G343"/>
      <c r="H343"/>
      <c r="I343"/>
      <c r="J343"/>
      <c r="K343"/>
      <c r="L343"/>
      <c r="M343"/>
      <c r="N343"/>
      <c r="O343"/>
      <c r="P343"/>
      <c r="Q343"/>
      <c r="R343"/>
      <c r="S343"/>
    </row>
    <row r="344" spans="1:19" x14ac:dyDescent="0.25">
      <c r="A344"/>
      <c r="B344"/>
      <c r="C344"/>
      <c r="D344"/>
      <c r="E344"/>
      <c r="F344"/>
      <c r="G344"/>
      <c r="H344"/>
      <c r="I344"/>
      <c r="J344"/>
      <c r="K344"/>
      <c r="L344"/>
      <c r="M344"/>
      <c r="N344"/>
      <c r="O344"/>
      <c r="P344"/>
      <c r="Q344"/>
      <c r="R344"/>
      <c r="S344"/>
    </row>
    <row r="345" spans="1:19" x14ac:dyDescent="0.25">
      <c r="A345"/>
      <c r="B345"/>
      <c r="C345"/>
      <c r="D345"/>
      <c r="E345"/>
      <c r="F345"/>
      <c r="G345"/>
      <c r="H345"/>
      <c r="I345"/>
      <c r="J345"/>
      <c r="K345"/>
      <c r="L345"/>
      <c r="M345"/>
      <c r="N345"/>
      <c r="O345"/>
      <c r="P345"/>
      <c r="Q345"/>
      <c r="R345"/>
      <c r="S345"/>
    </row>
    <row r="346" spans="1:19" x14ac:dyDescent="0.25">
      <c r="A346"/>
      <c r="B346"/>
      <c r="C346"/>
      <c r="D346"/>
      <c r="E346"/>
      <c r="F346"/>
      <c r="G346"/>
      <c r="H346"/>
      <c r="I346"/>
      <c r="J346"/>
      <c r="K346"/>
      <c r="L346"/>
      <c r="M346"/>
      <c r="N346"/>
      <c r="O346"/>
      <c r="P346"/>
      <c r="Q346"/>
      <c r="R346"/>
      <c r="S346"/>
    </row>
    <row r="347" spans="1:19" x14ac:dyDescent="0.25">
      <c r="A347"/>
      <c r="B347"/>
      <c r="C347"/>
      <c r="D347"/>
      <c r="E347"/>
      <c r="F347"/>
      <c r="G347"/>
      <c r="H347"/>
      <c r="I347"/>
      <c r="J347"/>
      <c r="K347"/>
      <c r="L347"/>
      <c r="M347"/>
      <c r="N347"/>
      <c r="O347"/>
      <c r="P347"/>
      <c r="Q347"/>
      <c r="R347"/>
      <c r="S347"/>
    </row>
    <row r="348" spans="1:19" x14ac:dyDescent="0.25">
      <c r="A348"/>
      <c r="B348"/>
      <c r="C348"/>
      <c r="D348"/>
      <c r="E348"/>
      <c r="F348"/>
      <c r="G348"/>
      <c r="H348"/>
      <c r="I348"/>
      <c r="J348"/>
      <c r="K348"/>
      <c r="L348"/>
      <c r="M348"/>
      <c r="N348"/>
      <c r="O348"/>
      <c r="P348"/>
      <c r="Q348"/>
      <c r="R348"/>
      <c r="S348"/>
    </row>
    <row r="349" spans="1:19" x14ac:dyDescent="0.25">
      <c r="A349"/>
      <c r="B349"/>
      <c r="C349"/>
      <c r="D349"/>
      <c r="E349"/>
      <c r="F349"/>
      <c r="G349"/>
      <c r="H349"/>
      <c r="I349"/>
      <c r="J349"/>
      <c r="K349"/>
      <c r="L349"/>
      <c r="M349"/>
      <c r="N349"/>
      <c r="O349"/>
      <c r="P349"/>
      <c r="Q349"/>
      <c r="R349"/>
      <c r="S349"/>
    </row>
    <row r="350" spans="1:19" x14ac:dyDescent="0.25">
      <c r="A350"/>
      <c r="B350"/>
      <c r="C350"/>
      <c r="D350"/>
      <c r="E350"/>
      <c r="F350"/>
      <c r="G350"/>
      <c r="H350"/>
      <c r="I350"/>
      <c r="J350"/>
      <c r="K350"/>
      <c r="L350"/>
      <c r="M350"/>
      <c r="N350"/>
      <c r="O350"/>
      <c r="P350"/>
      <c r="Q350"/>
      <c r="R350"/>
      <c r="S350"/>
    </row>
    <row r="351" spans="1:19" x14ac:dyDescent="0.25">
      <c r="A351"/>
      <c r="B351"/>
      <c r="C351"/>
      <c r="D351"/>
      <c r="E351"/>
      <c r="F351"/>
      <c r="G351"/>
      <c r="H351"/>
      <c r="I351"/>
      <c r="J351"/>
      <c r="K351"/>
      <c r="L351"/>
      <c r="M351"/>
      <c r="N351"/>
      <c r="O351"/>
      <c r="P351"/>
      <c r="Q351"/>
      <c r="R351"/>
      <c r="S351"/>
    </row>
    <row r="352" spans="1:19" x14ac:dyDescent="0.25">
      <c r="A352"/>
      <c r="B352"/>
      <c r="C352"/>
      <c r="D352"/>
      <c r="E352"/>
      <c r="F352"/>
      <c r="G352"/>
      <c r="H352"/>
      <c r="I352"/>
      <c r="J352"/>
      <c r="K352"/>
      <c r="L352"/>
      <c r="M352"/>
      <c r="N352"/>
      <c r="O352"/>
      <c r="P352"/>
      <c r="Q352"/>
      <c r="R352"/>
      <c r="S352"/>
    </row>
    <row r="353" spans="1:19" x14ac:dyDescent="0.25">
      <c r="A353"/>
      <c r="B353"/>
      <c r="C353"/>
      <c r="D353"/>
      <c r="E353"/>
      <c r="F353"/>
      <c r="G353"/>
      <c r="H353"/>
      <c r="I353"/>
      <c r="J353"/>
      <c r="K353"/>
      <c r="L353"/>
      <c r="M353"/>
      <c r="N353"/>
      <c r="O353"/>
      <c r="P353"/>
      <c r="Q353"/>
      <c r="R353"/>
      <c r="S353"/>
    </row>
    <row r="354" spans="1:19" x14ac:dyDescent="0.25">
      <c r="A354"/>
      <c r="B354"/>
      <c r="C354"/>
      <c r="D354"/>
      <c r="E354"/>
      <c r="F354"/>
      <c r="G354"/>
      <c r="H354"/>
      <c r="I354"/>
      <c r="J354"/>
      <c r="K354"/>
      <c r="L354"/>
      <c r="M354"/>
      <c r="N354"/>
      <c r="O354"/>
      <c r="P354"/>
      <c r="Q354"/>
      <c r="R354"/>
      <c r="S354"/>
    </row>
    <row r="355" spans="1:19" x14ac:dyDescent="0.25">
      <c r="A355"/>
      <c r="B355"/>
      <c r="C355"/>
      <c r="D355"/>
      <c r="E355"/>
      <c r="F355"/>
      <c r="G355"/>
      <c r="H355"/>
      <c r="I355"/>
      <c r="J355"/>
      <c r="K355"/>
      <c r="L355"/>
      <c r="M355"/>
      <c r="N355"/>
      <c r="O355"/>
      <c r="P355"/>
      <c r="Q355"/>
      <c r="R355"/>
      <c r="S355"/>
    </row>
    <row r="356" spans="1:19" x14ac:dyDescent="0.25">
      <c r="A356"/>
      <c r="B356"/>
      <c r="C356"/>
      <c r="D356"/>
      <c r="E356"/>
      <c r="F356"/>
      <c r="G356"/>
      <c r="H356"/>
      <c r="I356"/>
      <c r="J356"/>
      <c r="K356"/>
      <c r="L356"/>
      <c r="M356"/>
      <c r="N356"/>
      <c r="O356"/>
      <c r="P356"/>
      <c r="Q356"/>
      <c r="R356"/>
      <c r="S356"/>
    </row>
    <row r="357" spans="1:19" x14ac:dyDescent="0.25">
      <c r="A357"/>
      <c r="B357"/>
      <c r="C357"/>
      <c r="D357"/>
      <c r="E357"/>
      <c r="F357"/>
      <c r="G357"/>
      <c r="H357"/>
      <c r="I357"/>
      <c r="J357"/>
      <c r="K357"/>
      <c r="L357"/>
      <c r="M357"/>
      <c r="N357"/>
      <c r="O357"/>
      <c r="P357"/>
      <c r="Q357"/>
      <c r="R357"/>
      <c r="S357"/>
    </row>
    <row r="358" spans="1:19" x14ac:dyDescent="0.25">
      <c r="A358"/>
      <c r="B358"/>
      <c r="C358"/>
      <c r="D358"/>
      <c r="E358"/>
      <c r="F358"/>
      <c r="G358"/>
      <c r="H358"/>
      <c r="I358"/>
      <c r="J358"/>
      <c r="K358"/>
      <c r="L358"/>
      <c r="M358"/>
      <c r="N358"/>
      <c r="O358"/>
      <c r="P358"/>
      <c r="Q358"/>
      <c r="R358"/>
      <c r="S358"/>
    </row>
    <row r="359" spans="1:19" x14ac:dyDescent="0.25">
      <c r="A359"/>
      <c r="B359"/>
      <c r="C359"/>
      <c r="D359"/>
      <c r="E359"/>
      <c r="F359"/>
      <c r="G359"/>
      <c r="H359"/>
      <c r="I359"/>
      <c r="J359"/>
      <c r="K359"/>
      <c r="L359"/>
      <c r="M359"/>
      <c r="N359"/>
      <c r="O359"/>
      <c r="P359"/>
      <c r="Q359"/>
      <c r="R359"/>
      <c r="S359"/>
    </row>
    <row r="360" spans="1:19" x14ac:dyDescent="0.25">
      <c r="A360"/>
      <c r="B360"/>
      <c r="C360"/>
      <c r="D360"/>
      <c r="E360"/>
      <c r="F360"/>
      <c r="G360"/>
      <c r="H360"/>
      <c r="I360"/>
      <c r="J360"/>
      <c r="K360"/>
      <c r="L360"/>
      <c r="M360"/>
      <c r="N360"/>
      <c r="O360"/>
      <c r="P360"/>
      <c r="Q360"/>
      <c r="R360"/>
      <c r="S360"/>
    </row>
    <row r="361" spans="1:19" x14ac:dyDescent="0.25">
      <c r="A361"/>
      <c r="B361"/>
      <c r="C361"/>
      <c r="D361"/>
      <c r="E361"/>
      <c r="F361"/>
      <c r="G361"/>
      <c r="H361"/>
      <c r="I361"/>
      <c r="J361"/>
      <c r="K361"/>
      <c r="L361"/>
      <c r="M361"/>
      <c r="N361"/>
      <c r="O361"/>
      <c r="P361"/>
      <c r="Q361"/>
      <c r="R361"/>
      <c r="S361"/>
    </row>
    <row r="362" spans="1:19" x14ac:dyDescent="0.25">
      <c r="A362"/>
      <c r="B362"/>
      <c r="C362"/>
      <c r="D362"/>
      <c r="E362"/>
      <c r="F362"/>
      <c r="G362"/>
      <c r="H362"/>
      <c r="I362"/>
      <c r="J362"/>
      <c r="K362"/>
      <c r="L362"/>
      <c r="M362"/>
      <c r="N362"/>
      <c r="O362"/>
      <c r="P362"/>
      <c r="Q362"/>
      <c r="R362"/>
      <c r="S362"/>
    </row>
    <row r="363" spans="1:19" x14ac:dyDescent="0.25">
      <c r="A363"/>
      <c r="B363"/>
      <c r="C363"/>
      <c r="D363"/>
      <c r="E363"/>
      <c r="F363"/>
      <c r="G363"/>
      <c r="H363"/>
      <c r="I363"/>
      <c r="J363"/>
      <c r="K363"/>
      <c r="L363"/>
      <c r="M363"/>
      <c r="N363"/>
      <c r="O363"/>
      <c r="P363"/>
      <c r="Q363"/>
      <c r="R363"/>
      <c r="S363"/>
    </row>
    <row r="364" spans="1:19" x14ac:dyDescent="0.25">
      <c r="A364"/>
      <c r="B364"/>
      <c r="C364"/>
      <c r="D364"/>
      <c r="E364"/>
      <c r="F364"/>
      <c r="G364"/>
      <c r="H364"/>
      <c r="I364"/>
      <c r="J364"/>
      <c r="K364"/>
      <c r="L364"/>
      <c r="M364"/>
      <c r="N364"/>
      <c r="O364"/>
      <c r="P364"/>
      <c r="Q364"/>
      <c r="R364"/>
      <c r="S364"/>
    </row>
    <row r="365" spans="1:19" x14ac:dyDescent="0.25">
      <c r="A365"/>
      <c r="B365"/>
      <c r="C365"/>
      <c r="D365"/>
      <c r="E365"/>
      <c r="F365"/>
      <c r="G365"/>
      <c r="H365"/>
      <c r="I365"/>
      <c r="J365"/>
      <c r="K365"/>
      <c r="L365"/>
      <c r="M365"/>
      <c r="N365"/>
      <c r="O365"/>
      <c r="P365"/>
      <c r="Q365"/>
      <c r="R365"/>
      <c r="S365"/>
    </row>
    <row r="366" spans="1:19" x14ac:dyDescent="0.25">
      <c r="A366"/>
      <c r="B366"/>
      <c r="C366"/>
      <c r="D366"/>
      <c r="E366"/>
      <c r="F366"/>
      <c r="G366"/>
      <c r="H366"/>
      <c r="I366"/>
      <c r="J366"/>
      <c r="K366"/>
      <c r="L366"/>
      <c r="M366"/>
      <c r="N366"/>
      <c r="O366"/>
      <c r="P366"/>
      <c r="Q366"/>
      <c r="R366"/>
      <c r="S366"/>
    </row>
    <row r="367" spans="1:19" x14ac:dyDescent="0.25">
      <c r="A367"/>
      <c r="B367"/>
      <c r="C367"/>
      <c r="D367"/>
      <c r="E367"/>
      <c r="F367"/>
      <c r="G367"/>
      <c r="H367"/>
      <c r="I367"/>
      <c r="J367"/>
      <c r="K367"/>
      <c r="L367"/>
      <c r="M367"/>
      <c r="N367"/>
      <c r="O367"/>
      <c r="P367"/>
      <c r="Q367"/>
      <c r="R367"/>
      <c r="S367"/>
    </row>
    <row r="368" spans="1:19" x14ac:dyDescent="0.25">
      <c r="A368"/>
      <c r="B368"/>
      <c r="C368"/>
      <c r="D368"/>
      <c r="E368"/>
      <c r="F368"/>
      <c r="G368"/>
      <c r="H368"/>
      <c r="I368"/>
      <c r="J368"/>
      <c r="K368"/>
      <c r="L368"/>
      <c r="M368"/>
      <c r="N368"/>
      <c r="O368"/>
      <c r="P368"/>
      <c r="Q368"/>
      <c r="R368"/>
      <c r="S368"/>
    </row>
    <row r="369" spans="1:19" x14ac:dyDescent="0.25">
      <c r="A369"/>
      <c r="B369"/>
      <c r="C369"/>
      <c r="D369"/>
      <c r="E369"/>
      <c r="F369"/>
      <c r="G369"/>
      <c r="H369"/>
      <c r="I369"/>
      <c r="J369"/>
      <c r="K369"/>
      <c r="L369"/>
      <c r="M369"/>
      <c r="N369"/>
      <c r="O369"/>
      <c r="P369"/>
      <c r="Q369"/>
      <c r="R369"/>
      <c r="S369"/>
    </row>
    <row r="370" spans="1:19" x14ac:dyDescent="0.25">
      <c r="A370"/>
      <c r="B370"/>
      <c r="C370"/>
      <c r="D370"/>
      <c r="E370"/>
      <c r="F370"/>
      <c r="G370"/>
      <c r="H370"/>
      <c r="I370"/>
      <c r="J370"/>
      <c r="K370"/>
      <c r="L370"/>
      <c r="M370"/>
      <c r="N370"/>
      <c r="O370"/>
      <c r="P370"/>
      <c r="Q370"/>
      <c r="R370"/>
      <c r="S370"/>
    </row>
    <row r="371" spans="1:19" x14ac:dyDescent="0.25">
      <c r="A371"/>
      <c r="B371"/>
      <c r="C371"/>
      <c r="D371"/>
      <c r="E371"/>
      <c r="F371"/>
      <c r="G371"/>
      <c r="H371"/>
      <c r="I371"/>
      <c r="J371"/>
      <c r="K371"/>
      <c r="L371"/>
      <c r="M371"/>
      <c r="N371"/>
      <c r="O371"/>
      <c r="P371"/>
      <c r="Q371"/>
      <c r="R371"/>
      <c r="S371"/>
    </row>
    <row r="372" spans="1:19" x14ac:dyDescent="0.25">
      <c r="A372"/>
      <c r="B372"/>
      <c r="C372"/>
      <c r="D372"/>
      <c r="E372"/>
      <c r="F372"/>
      <c r="G372"/>
      <c r="H372"/>
      <c r="I372"/>
      <c r="J372"/>
      <c r="K372"/>
      <c r="L372"/>
      <c r="M372"/>
      <c r="N372"/>
      <c r="O372"/>
      <c r="P372"/>
      <c r="Q372"/>
      <c r="R372"/>
      <c r="S372"/>
    </row>
    <row r="373" spans="1:19" x14ac:dyDescent="0.25">
      <c r="A373"/>
      <c r="B373"/>
      <c r="C373"/>
      <c r="D373"/>
      <c r="E373"/>
      <c r="F373"/>
      <c r="G373"/>
      <c r="H373"/>
      <c r="I373"/>
      <c r="J373"/>
      <c r="K373"/>
      <c r="L373"/>
      <c r="M373"/>
      <c r="N373"/>
      <c r="O373"/>
      <c r="P373"/>
      <c r="Q373"/>
      <c r="R373"/>
      <c r="S373"/>
    </row>
    <row r="374" spans="1:19" x14ac:dyDescent="0.25">
      <c r="A374"/>
      <c r="B374"/>
      <c r="C374"/>
      <c r="D374"/>
      <c r="E374"/>
      <c r="F374"/>
      <c r="G374"/>
      <c r="H374"/>
      <c r="I374"/>
      <c r="J374"/>
      <c r="K374"/>
      <c r="L374"/>
      <c r="M374"/>
      <c r="N374"/>
      <c r="O374"/>
      <c r="P374"/>
      <c r="Q374"/>
      <c r="R374"/>
      <c r="S374"/>
    </row>
    <row r="375" spans="1:19" x14ac:dyDescent="0.25">
      <c r="A375"/>
      <c r="B375"/>
      <c r="C375"/>
      <c r="D375"/>
      <c r="E375"/>
      <c r="F375"/>
      <c r="G375"/>
      <c r="H375"/>
      <c r="I375"/>
      <c r="J375"/>
      <c r="K375"/>
      <c r="L375"/>
      <c r="M375"/>
      <c r="N375"/>
      <c r="O375"/>
      <c r="P375"/>
      <c r="Q375"/>
      <c r="R375"/>
      <c r="S375"/>
    </row>
    <row r="376" spans="1:19" x14ac:dyDescent="0.25">
      <c r="A376"/>
      <c r="B376"/>
      <c r="C376"/>
      <c r="D376"/>
      <c r="E376"/>
      <c r="F376"/>
      <c r="G376"/>
      <c r="H376"/>
      <c r="I376"/>
      <c r="J376"/>
      <c r="K376"/>
      <c r="L376"/>
      <c r="M376"/>
      <c r="N376"/>
      <c r="O376"/>
      <c r="P376"/>
      <c r="Q376"/>
      <c r="R376"/>
      <c r="S376"/>
    </row>
    <row r="377" spans="1:19" x14ac:dyDescent="0.25">
      <c r="A377"/>
      <c r="B377"/>
      <c r="C377"/>
      <c r="D377"/>
      <c r="E377"/>
      <c r="F377"/>
      <c r="G377"/>
      <c r="H377"/>
      <c r="I377"/>
      <c r="J377"/>
      <c r="K377"/>
      <c r="L377"/>
      <c r="M377"/>
      <c r="N377"/>
      <c r="O377"/>
      <c r="P377"/>
      <c r="Q377"/>
      <c r="R377"/>
      <c r="S377"/>
    </row>
    <row r="378" spans="1:19" x14ac:dyDescent="0.25">
      <c r="A378"/>
      <c r="B378"/>
      <c r="C378"/>
      <c r="D378"/>
      <c r="E378"/>
      <c r="F378"/>
      <c r="G378"/>
      <c r="H378"/>
      <c r="I378"/>
      <c r="J378"/>
      <c r="K378"/>
      <c r="L378"/>
      <c r="M378"/>
      <c r="N378"/>
      <c r="O378"/>
      <c r="P378"/>
      <c r="Q378"/>
      <c r="R378"/>
      <c r="S378"/>
    </row>
    <row r="379" spans="1:19" x14ac:dyDescent="0.25">
      <c r="A379"/>
      <c r="B379"/>
      <c r="C379"/>
      <c r="D379"/>
      <c r="E379"/>
      <c r="F379"/>
      <c r="G379"/>
      <c r="H379"/>
      <c r="I379"/>
      <c r="J379"/>
      <c r="K379"/>
      <c r="L379"/>
      <c r="M379"/>
      <c r="N379"/>
      <c r="O379"/>
      <c r="P379"/>
      <c r="Q379"/>
      <c r="R379"/>
      <c r="S379"/>
    </row>
    <row r="380" spans="1:19" x14ac:dyDescent="0.25">
      <c r="A380"/>
      <c r="B380"/>
      <c r="C380"/>
      <c r="D380"/>
      <c r="E380"/>
      <c r="F380"/>
      <c r="G380"/>
      <c r="H380"/>
      <c r="I380"/>
      <c r="J380"/>
      <c r="K380"/>
      <c r="L380"/>
      <c r="M380"/>
      <c r="N380"/>
      <c r="O380"/>
      <c r="P380"/>
      <c r="Q380"/>
      <c r="R380"/>
      <c r="S380"/>
    </row>
    <row r="381" spans="1:19" x14ac:dyDescent="0.25">
      <c r="A381"/>
      <c r="B381"/>
      <c r="C381"/>
      <c r="D381"/>
      <c r="E381"/>
      <c r="F381"/>
      <c r="G381"/>
      <c r="H381"/>
      <c r="I381"/>
      <c r="J381"/>
      <c r="K381"/>
      <c r="L381"/>
      <c r="M381"/>
      <c r="N381"/>
      <c r="O381"/>
      <c r="P381"/>
      <c r="Q381"/>
      <c r="R381"/>
      <c r="S381"/>
    </row>
    <row r="382" spans="1:19" x14ac:dyDescent="0.25">
      <c r="A382"/>
      <c r="B382"/>
      <c r="C382"/>
      <c r="D382"/>
      <c r="E382"/>
      <c r="F382"/>
      <c r="G382"/>
      <c r="H382"/>
      <c r="I382"/>
      <c r="J382"/>
      <c r="K382"/>
      <c r="L382"/>
      <c r="M382"/>
      <c r="N382"/>
      <c r="O382"/>
      <c r="P382"/>
      <c r="Q382"/>
      <c r="R382"/>
      <c r="S382"/>
    </row>
    <row r="383" spans="1:19" x14ac:dyDescent="0.25">
      <c r="A383"/>
      <c r="B383"/>
      <c r="C383"/>
      <c r="D383"/>
      <c r="E383"/>
      <c r="F383"/>
      <c r="G383"/>
      <c r="H383"/>
      <c r="I383"/>
      <c r="J383"/>
      <c r="K383"/>
      <c r="L383"/>
      <c r="M383"/>
      <c r="N383"/>
      <c r="O383"/>
      <c r="P383"/>
      <c r="Q383"/>
      <c r="R383"/>
      <c r="S383"/>
    </row>
    <row r="384" spans="1:19" x14ac:dyDescent="0.25">
      <c r="A384"/>
      <c r="B384"/>
      <c r="C384"/>
      <c r="D384"/>
      <c r="E384"/>
      <c r="F384"/>
      <c r="G384"/>
      <c r="H384"/>
      <c r="I384"/>
      <c r="J384"/>
      <c r="K384"/>
      <c r="L384"/>
      <c r="M384"/>
      <c r="N384"/>
      <c r="O384"/>
      <c r="P384"/>
      <c r="Q384"/>
      <c r="R384"/>
      <c r="S384"/>
    </row>
    <row r="385" spans="1:19" x14ac:dyDescent="0.25">
      <c r="A385"/>
      <c r="B385"/>
      <c r="C385"/>
      <c r="D385"/>
      <c r="E385"/>
      <c r="F385"/>
      <c r="G385"/>
      <c r="H385"/>
      <c r="I385"/>
      <c r="J385"/>
      <c r="K385"/>
      <c r="L385"/>
      <c r="M385"/>
      <c r="N385"/>
      <c r="O385"/>
      <c r="P385"/>
      <c r="Q385"/>
      <c r="R385"/>
      <c r="S385"/>
    </row>
    <row r="386" spans="1:19" x14ac:dyDescent="0.25">
      <c r="A386"/>
      <c r="B386"/>
      <c r="C386"/>
      <c r="D386"/>
      <c r="E386"/>
      <c r="F386"/>
      <c r="G386"/>
      <c r="H386"/>
      <c r="I386"/>
      <c r="J386"/>
      <c r="K386"/>
      <c r="L386"/>
      <c r="M386"/>
      <c r="N386"/>
      <c r="O386"/>
      <c r="P386"/>
      <c r="Q386"/>
      <c r="R386"/>
      <c r="S386"/>
    </row>
    <row r="387" spans="1:19" x14ac:dyDescent="0.25">
      <c r="A387"/>
      <c r="B387"/>
      <c r="C387"/>
      <c r="D387"/>
      <c r="E387"/>
      <c r="F387"/>
      <c r="G387"/>
      <c r="H387"/>
      <c r="I387"/>
      <c r="J387"/>
      <c r="K387"/>
      <c r="L387"/>
      <c r="M387"/>
      <c r="N387"/>
      <c r="O387"/>
      <c r="P387"/>
      <c r="Q387"/>
      <c r="R387"/>
      <c r="S387"/>
    </row>
    <row r="388" spans="1:19" x14ac:dyDescent="0.25">
      <c r="A388"/>
      <c r="B388"/>
      <c r="C388"/>
      <c r="D388"/>
      <c r="E388"/>
      <c r="F388"/>
      <c r="G388"/>
      <c r="H388"/>
      <c r="I388"/>
      <c r="J388"/>
      <c r="K388"/>
      <c r="L388"/>
      <c r="M388"/>
      <c r="N388"/>
      <c r="O388"/>
      <c r="P388"/>
      <c r="Q388"/>
      <c r="R388"/>
      <c r="S388"/>
    </row>
    <row r="389" spans="1:19" x14ac:dyDescent="0.25">
      <c r="A389"/>
      <c r="B389"/>
      <c r="C389"/>
      <c r="D389"/>
      <c r="E389"/>
      <c r="F389"/>
      <c r="G389"/>
      <c r="H389"/>
      <c r="I389"/>
      <c r="J389"/>
      <c r="K389"/>
      <c r="L389"/>
      <c r="M389"/>
      <c r="N389"/>
      <c r="O389"/>
      <c r="P389"/>
      <c r="Q389"/>
      <c r="R389"/>
      <c r="S389"/>
    </row>
    <row r="390" spans="1:19" x14ac:dyDescent="0.25">
      <c r="A390"/>
      <c r="B390"/>
      <c r="C390"/>
      <c r="D390"/>
      <c r="E390"/>
      <c r="F390"/>
      <c r="G390"/>
      <c r="H390"/>
      <c r="I390"/>
      <c r="J390"/>
      <c r="K390"/>
      <c r="L390"/>
      <c r="M390"/>
      <c r="N390"/>
      <c r="O390"/>
      <c r="P390"/>
      <c r="Q390"/>
      <c r="R390"/>
      <c r="S390"/>
    </row>
    <row r="391" spans="1:19" x14ac:dyDescent="0.25">
      <c r="A391"/>
      <c r="B391"/>
      <c r="C391"/>
      <c r="D391"/>
      <c r="E391"/>
      <c r="F391"/>
      <c r="G391"/>
      <c r="H391"/>
      <c r="I391"/>
      <c r="J391"/>
      <c r="K391"/>
      <c r="L391"/>
      <c r="M391"/>
      <c r="N391"/>
      <c r="O391"/>
      <c r="P391"/>
      <c r="Q391"/>
      <c r="R391"/>
      <c r="S391"/>
    </row>
    <row r="392" spans="1:19" x14ac:dyDescent="0.25">
      <c r="A392"/>
      <c r="B392"/>
      <c r="C392"/>
      <c r="D392"/>
      <c r="E392"/>
      <c r="F392"/>
      <c r="G392"/>
      <c r="H392"/>
      <c r="I392"/>
      <c r="J392"/>
      <c r="K392"/>
      <c r="L392"/>
      <c r="M392"/>
      <c r="N392"/>
      <c r="O392"/>
      <c r="P392"/>
      <c r="Q392"/>
      <c r="R392"/>
      <c r="S392"/>
    </row>
    <row r="393" spans="1:19" x14ac:dyDescent="0.25">
      <c r="A393"/>
      <c r="B393"/>
      <c r="C393"/>
      <c r="D393"/>
      <c r="E393"/>
      <c r="F393"/>
      <c r="G393"/>
      <c r="H393"/>
      <c r="I393"/>
      <c r="J393"/>
      <c r="K393"/>
      <c r="L393"/>
      <c r="M393"/>
      <c r="N393"/>
      <c r="O393"/>
      <c r="P393"/>
      <c r="Q393"/>
      <c r="R393"/>
      <c r="S393"/>
    </row>
    <row r="394" spans="1:19" x14ac:dyDescent="0.25">
      <c r="A394"/>
      <c r="B394"/>
      <c r="C394"/>
      <c r="D394"/>
      <c r="E394"/>
      <c r="F394"/>
      <c r="G394"/>
      <c r="H394"/>
      <c r="I394"/>
      <c r="J394"/>
      <c r="K394"/>
      <c r="L394"/>
      <c r="M394"/>
      <c r="N394"/>
      <c r="O394"/>
      <c r="P394"/>
      <c r="Q394"/>
      <c r="R394"/>
      <c r="S394"/>
    </row>
    <row r="395" spans="1:19" x14ac:dyDescent="0.25">
      <c r="A395"/>
      <c r="B395"/>
      <c r="C395"/>
      <c r="D395"/>
      <c r="E395"/>
      <c r="F395"/>
      <c r="G395"/>
      <c r="H395"/>
      <c r="I395"/>
      <c r="J395"/>
      <c r="K395"/>
      <c r="L395"/>
      <c r="M395"/>
      <c r="N395"/>
      <c r="O395"/>
      <c r="P395"/>
      <c r="Q395"/>
      <c r="R395"/>
      <c r="S395"/>
    </row>
    <row r="396" spans="1:19" x14ac:dyDescent="0.25">
      <c r="A396"/>
      <c r="B396"/>
      <c r="C396"/>
      <c r="D396"/>
      <c r="E396"/>
      <c r="F396"/>
      <c r="G396"/>
      <c r="H396"/>
      <c r="I396"/>
      <c r="J396"/>
      <c r="K396"/>
      <c r="L396"/>
      <c r="M396"/>
      <c r="N396"/>
      <c r="O396"/>
      <c r="P396"/>
      <c r="Q396"/>
      <c r="R396"/>
      <c r="S396"/>
    </row>
    <row r="397" spans="1:19" x14ac:dyDescent="0.25">
      <c r="A397"/>
      <c r="B397"/>
      <c r="C397"/>
      <c r="D397"/>
      <c r="E397"/>
      <c r="F397"/>
      <c r="G397"/>
      <c r="H397"/>
      <c r="I397"/>
      <c r="J397"/>
      <c r="K397"/>
      <c r="L397"/>
      <c r="M397"/>
      <c r="N397"/>
      <c r="O397"/>
      <c r="P397"/>
      <c r="Q397"/>
      <c r="R397"/>
      <c r="S397"/>
    </row>
    <row r="398" spans="1:19" x14ac:dyDescent="0.25">
      <c r="A398"/>
      <c r="B398"/>
      <c r="C398"/>
      <c r="D398"/>
      <c r="E398"/>
      <c r="F398"/>
      <c r="G398"/>
      <c r="H398"/>
      <c r="I398"/>
      <c r="J398"/>
      <c r="K398"/>
      <c r="L398"/>
      <c r="M398"/>
      <c r="N398"/>
      <c r="O398"/>
      <c r="P398"/>
      <c r="Q398"/>
      <c r="R398"/>
      <c r="S398"/>
    </row>
    <row r="399" spans="1:19" x14ac:dyDescent="0.25">
      <c r="A399"/>
      <c r="B399"/>
      <c r="C399"/>
      <c r="D399"/>
      <c r="E399"/>
      <c r="F399"/>
      <c r="G399"/>
      <c r="H399"/>
      <c r="I399"/>
      <c r="J399"/>
      <c r="K399"/>
      <c r="L399"/>
      <c r="M399"/>
      <c r="N399"/>
      <c r="O399"/>
      <c r="P399"/>
      <c r="Q399"/>
      <c r="R399"/>
      <c r="S399"/>
    </row>
    <row r="400" spans="1:19" x14ac:dyDescent="0.25">
      <c r="A400"/>
      <c r="B400"/>
      <c r="C400"/>
      <c r="D400"/>
      <c r="E400"/>
      <c r="F400"/>
      <c r="G400"/>
      <c r="H400"/>
      <c r="I400"/>
      <c r="J400"/>
      <c r="K400"/>
      <c r="L400"/>
      <c r="M400"/>
      <c r="N400"/>
      <c r="O400"/>
      <c r="P400"/>
      <c r="Q400"/>
      <c r="R400"/>
      <c r="S400"/>
    </row>
    <row r="401" spans="1:19" x14ac:dyDescent="0.25">
      <c r="A401"/>
      <c r="B401"/>
      <c r="C401"/>
      <c r="D401"/>
      <c r="E401"/>
      <c r="F401"/>
      <c r="G401"/>
      <c r="H401"/>
      <c r="I401"/>
      <c r="J401"/>
      <c r="K401"/>
      <c r="L401"/>
      <c r="M401"/>
      <c r="N401"/>
      <c r="O401"/>
      <c r="P401"/>
      <c r="Q401"/>
      <c r="R401"/>
      <c r="S401"/>
    </row>
    <row r="402" spans="1:19" x14ac:dyDescent="0.25">
      <c r="A402"/>
      <c r="B402"/>
      <c r="C402"/>
      <c r="D402"/>
      <c r="E402"/>
      <c r="F402"/>
      <c r="G402"/>
      <c r="H402"/>
      <c r="I402"/>
      <c r="J402"/>
      <c r="K402"/>
      <c r="L402"/>
      <c r="M402"/>
      <c r="N402"/>
      <c r="O402"/>
      <c r="P402"/>
      <c r="Q402"/>
      <c r="R402"/>
      <c r="S402"/>
    </row>
    <row r="403" spans="1:19" x14ac:dyDescent="0.25">
      <c r="A403"/>
      <c r="B403"/>
      <c r="C403"/>
      <c r="D403"/>
      <c r="E403"/>
      <c r="F403"/>
      <c r="G403"/>
      <c r="H403"/>
      <c r="I403"/>
      <c r="J403"/>
      <c r="K403"/>
      <c r="L403"/>
      <c r="M403"/>
      <c r="N403"/>
      <c r="O403"/>
      <c r="P403"/>
      <c r="Q403"/>
      <c r="R403"/>
      <c r="S403"/>
    </row>
    <row r="404" spans="1:19" x14ac:dyDescent="0.25">
      <c r="A404"/>
      <c r="B404"/>
      <c r="C404"/>
      <c r="D404"/>
      <c r="E404"/>
      <c r="F404"/>
      <c r="G404"/>
      <c r="H404"/>
      <c r="I404"/>
      <c r="J404"/>
      <c r="K404"/>
      <c r="L404"/>
      <c r="M404"/>
      <c r="N404"/>
      <c r="O404"/>
      <c r="P404"/>
      <c r="Q404"/>
      <c r="R404"/>
      <c r="S404"/>
    </row>
    <row r="405" spans="1:19" x14ac:dyDescent="0.25">
      <c r="A405"/>
      <c r="B405"/>
      <c r="C405"/>
      <c r="D405"/>
      <c r="E405"/>
      <c r="F405"/>
      <c r="G405"/>
      <c r="H405"/>
      <c r="I405"/>
      <c r="J405"/>
      <c r="K405"/>
      <c r="L405"/>
      <c r="M405"/>
      <c r="N405"/>
      <c r="O405"/>
      <c r="P405"/>
      <c r="Q405"/>
      <c r="R405"/>
      <c r="S405"/>
    </row>
    <row r="406" spans="1:19" x14ac:dyDescent="0.25">
      <c r="A406"/>
      <c r="B406"/>
      <c r="C406"/>
      <c r="D406"/>
      <c r="E406"/>
      <c r="F406"/>
      <c r="G406"/>
      <c r="H406"/>
      <c r="I406"/>
      <c r="J406"/>
      <c r="K406"/>
      <c r="L406"/>
      <c r="M406"/>
      <c r="N406"/>
      <c r="O406"/>
      <c r="P406"/>
      <c r="Q406"/>
      <c r="R406"/>
      <c r="S406"/>
    </row>
    <row r="407" spans="1:19" x14ac:dyDescent="0.25">
      <c r="A407"/>
      <c r="B407"/>
      <c r="C407"/>
      <c r="D407"/>
      <c r="E407"/>
      <c r="F407"/>
      <c r="G407"/>
      <c r="H407"/>
      <c r="I407"/>
      <c r="J407"/>
      <c r="K407"/>
      <c r="L407"/>
      <c r="M407"/>
      <c r="N407"/>
      <c r="O407"/>
      <c r="P407"/>
      <c r="Q407"/>
      <c r="R407"/>
      <c r="S407"/>
    </row>
    <row r="408" spans="1:19" x14ac:dyDescent="0.25">
      <c r="A408"/>
      <c r="B408"/>
      <c r="C408"/>
      <c r="D408"/>
      <c r="E408"/>
      <c r="F408"/>
      <c r="G408"/>
      <c r="H408"/>
      <c r="I408"/>
      <c r="J408"/>
      <c r="K408"/>
      <c r="L408"/>
      <c r="M408"/>
      <c r="N408"/>
      <c r="O408"/>
      <c r="P408"/>
      <c r="Q408"/>
      <c r="R408"/>
      <c r="S408"/>
    </row>
    <row r="409" spans="1:19" x14ac:dyDescent="0.25">
      <c r="A409"/>
      <c r="B409"/>
      <c r="C409"/>
      <c r="D409"/>
      <c r="E409"/>
      <c r="F409"/>
      <c r="G409"/>
      <c r="H409"/>
      <c r="I409"/>
      <c r="J409"/>
      <c r="K409"/>
      <c r="L409"/>
      <c r="M409"/>
      <c r="N409"/>
      <c r="O409"/>
      <c r="P409"/>
      <c r="Q409"/>
      <c r="R409"/>
      <c r="S409"/>
    </row>
    <row r="410" spans="1:19" x14ac:dyDescent="0.25">
      <c r="A410"/>
      <c r="B410"/>
      <c r="C410"/>
      <c r="D410"/>
      <c r="E410"/>
      <c r="F410"/>
      <c r="G410"/>
      <c r="H410"/>
      <c r="I410"/>
      <c r="J410"/>
      <c r="K410"/>
      <c r="L410"/>
      <c r="M410"/>
      <c r="N410"/>
      <c r="O410"/>
      <c r="P410"/>
      <c r="Q410"/>
      <c r="R410"/>
      <c r="S410"/>
    </row>
    <row r="411" spans="1:19" x14ac:dyDescent="0.25">
      <c r="A411"/>
      <c r="B411"/>
      <c r="C411"/>
      <c r="D411"/>
      <c r="E411"/>
      <c r="F411"/>
      <c r="G411"/>
      <c r="H411"/>
      <c r="I411"/>
      <c r="J411"/>
      <c r="K411"/>
      <c r="L411"/>
      <c r="M411"/>
      <c r="N411"/>
      <c r="O411"/>
      <c r="P411"/>
      <c r="Q411"/>
      <c r="R411"/>
      <c r="S411"/>
    </row>
    <row r="412" spans="1:19" x14ac:dyDescent="0.25">
      <c r="A412"/>
      <c r="B412"/>
      <c r="C412"/>
      <c r="D412"/>
      <c r="E412"/>
      <c r="F412"/>
      <c r="G412"/>
      <c r="H412"/>
      <c r="I412"/>
      <c r="J412"/>
      <c r="K412"/>
      <c r="L412"/>
      <c r="M412"/>
      <c r="N412"/>
      <c r="O412"/>
      <c r="P412"/>
      <c r="Q412"/>
      <c r="R412"/>
      <c r="S412"/>
    </row>
    <row r="413" spans="1:19" x14ac:dyDescent="0.25">
      <c r="A413"/>
      <c r="B413"/>
      <c r="C413"/>
      <c r="D413"/>
      <c r="E413"/>
      <c r="F413"/>
      <c r="G413"/>
      <c r="H413"/>
      <c r="I413"/>
      <c r="J413"/>
      <c r="K413"/>
      <c r="L413"/>
      <c r="M413"/>
      <c r="N413"/>
      <c r="O413"/>
      <c r="P413"/>
      <c r="Q413"/>
      <c r="R413"/>
      <c r="S413"/>
    </row>
    <row r="414" spans="1:19" x14ac:dyDescent="0.25">
      <c r="A414"/>
      <c r="B414"/>
      <c r="C414"/>
      <c r="D414"/>
      <c r="E414"/>
      <c r="F414"/>
      <c r="G414"/>
      <c r="H414"/>
      <c r="I414"/>
      <c r="J414"/>
      <c r="K414"/>
      <c r="L414"/>
      <c r="M414"/>
      <c r="N414"/>
      <c r="O414"/>
      <c r="P414"/>
      <c r="Q414"/>
      <c r="R414"/>
      <c r="S414"/>
    </row>
    <row r="415" spans="1:19" x14ac:dyDescent="0.25">
      <c r="A415"/>
      <c r="B415"/>
      <c r="C415"/>
      <c r="D415"/>
      <c r="E415"/>
      <c r="F415"/>
      <c r="G415"/>
      <c r="H415"/>
      <c r="I415"/>
      <c r="J415"/>
      <c r="K415"/>
      <c r="L415"/>
      <c r="M415"/>
      <c r="N415"/>
      <c r="O415"/>
      <c r="P415"/>
      <c r="Q415"/>
      <c r="R415"/>
      <c r="S415"/>
    </row>
    <row r="416" spans="1:19" x14ac:dyDescent="0.25">
      <c r="A416"/>
      <c r="B416"/>
      <c r="C416"/>
      <c r="D416"/>
      <c r="E416"/>
      <c r="F416"/>
      <c r="G416"/>
      <c r="H416"/>
      <c r="I416"/>
      <c r="J416"/>
      <c r="K416"/>
      <c r="L416"/>
      <c r="M416"/>
      <c r="N416"/>
      <c r="O416"/>
      <c r="P416"/>
      <c r="Q416"/>
      <c r="R416"/>
      <c r="S416"/>
    </row>
    <row r="417" spans="1:19" x14ac:dyDescent="0.25">
      <c r="A417"/>
      <c r="B417"/>
      <c r="C417"/>
      <c r="D417"/>
      <c r="E417"/>
      <c r="F417"/>
      <c r="G417"/>
      <c r="H417"/>
      <c r="I417"/>
      <c r="J417"/>
      <c r="K417"/>
      <c r="L417"/>
      <c r="M417"/>
      <c r="N417"/>
      <c r="O417"/>
      <c r="P417"/>
      <c r="Q417"/>
      <c r="R417"/>
      <c r="S417"/>
    </row>
    <row r="418" spans="1:19" x14ac:dyDescent="0.25">
      <c r="A418"/>
      <c r="B418"/>
      <c r="C418"/>
      <c r="D418"/>
      <c r="E418"/>
      <c r="F418"/>
      <c r="G418"/>
      <c r="H418"/>
      <c r="I418"/>
      <c r="J418"/>
      <c r="K418"/>
      <c r="L418"/>
      <c r="M418"/>
      <c r="N418"/>
      <c r="O418"/>
      <c r="P418"/>
      <c r="Q418"/>
      <c r="R418"/>
      <c r="S418"/>
    </row>
    <row r="419" spans="1:19" x14ac:dyDescent="0.25">
      <c r="A419"/>
      <c r="B419"/>
      <c r="C419"/>
      <c r="D419"/>
      <c r="E419"/>
      <c r="F419"/>
      <c r="G419"/>
      <c r="H419"/>
      <c r="I419"/>
      <c r="J419"/>
      <c r="K419"/>
      <c r="L419"/>
      <c r="M419"/>
      <c r="N419"/>
      <c r="O419"/>
      <c r="P419"/>
      <c r="Q419"/>
      <c r="R419"/>
      <c r="S419"/>
    </row>
    <row r="420" spans="1:19" x14ac:dyDescent="0.25">
      <c r="A420"/>
      <c r="B420"/>
      <c r="C420"/>
      <c r="D420"/>
      <c r="E420"/>
      <c r="F420"/>
      <c r="G420"/>
      <c r="H420"/>
      <c r="I420"/>
      <c r="J420"/>
      <c r="K420"/>
      <c r="L420"/>
      <c r="M420"/>
      <c r="N420"/>
      <c r="O420"/>
      <c r="P420"/>
      <c r="Q420"/>
      <c r="R420"/>
      <c r="S420"/>
    </row>
    <row r="421" spans="1:19" x14ac:dyDescent="0.25">
      <c r="A421"/>
      <c r="B421"/>
      <c r="C421"/>
      <c r="D421"/>
      <c r="E421"/>
      <c r="F421"/>
      <c r="G421"/>
      <c r="H421"/>
      <c r="I421"/>
      <c r="J421"/>
      <c r="K421"/>
      <c r="L421"/>
      <c r="M421"/>
      <c r="N421"/>
      <c r="O421"/>
      <c r="P421"/>
      <c r="Q421"/>
      <c r="R421"/>
      <c r="S421"/>
    </row>
    <row r="422" spans="1:19" x14ac:dyDescent="0.25">
      <c r="A422"/>
      <c r="B422"/>
      <c r="C422"/>
      <c r="D422"/>
      <c r="E422"/>
      <c r="F422"/>
      <c r="G422"/>
      <c r="H422"/>
      <c r="I422"/>
      <c r="J422"/>
      <c r="K422"/>
      <c r="L422"/>
      <c r="M422"/>
      <c r="N422"/>
      <c r="O422"/>
      <c r="P422"/>
      <c r="Q422"/>
      <c r="R422"/>
      <c r="S422"/>
    </row>
    <row r="423" spans="1:19" x14ac:dyDescent="0.25">
      <c r="A423"/>
      <c r="B423"/>
      <c r="C423"/>
      <c r="D423"/>
      <c r="E423"/>
      <c r="F423"/>
      <c r="G423"/>
      <c r="H423"/>
      <c r="I423"/>
      <c r="J423"/>
      <c r="K423"/>
      <c r="L423"/>
      <c r="M423"/>
      <c r="N423"/>
      <c r="O423"/>
      <c r="P423"/>
      <c r="Q423"/>
      <c r="R423"/>
      <c r="S423"/>
    </row>
    <row r="424" spans="1:19" x14ac:dyDescent="0.25">
      <c r="A424"/>
      <c r="B424"/>
      <c r="C424"/>
      <c r="D424"/>
      <c r="E424"/>
      <c r="F424"/>
      <c r="G424"/>
      <c r="H424"/>
      <c r="I424"/>
      <c r="J424"/>
      <c r="K424"/>
      <c r="L424"/>
      <c r="M424"/>
      <c r="N424"/>
      <c r="O424"/>
      <c r="P424"/>
      <c r="Q424"/>
      <c r="R424"/>
      <c r="S424"/>
    </row>
    <row r="425" spans="1:19" x14ac:dyDescent="0.25">
      <c r="A425"/>
      <c r="B425"/>
      <c r="C425"/>
      <c r="D425"/>
      <c r="E425"/>
      <c r="F425"/>
      <c r="G425"/>
      <c r="H425"/>
      <c r="I425"/>
      <c r="J425"/>
      <c r="K425"/>
      <c r="L425"/>
      <c r="M425"/>
      <c r="N425"/>
      <c r="O425"/>
      <c r="P425"/>
      <c r="Q425"/>
      <c r="R425"/>
      <c r="S425"/>
    </row>
    <row r="426" spans="1:19" x14ac:dyDescent="0.25">
      <c r="A426"/>
      <c r="B426"/>
      <c r="C426"/>
      <c r="D426"/>
      <c r="E426"/>
      <c r="F426"/>
      <c r="G426"/>
      <c r="H426"/>
      <c r="I426"/>
      <c r="J426"/>
      <c r="K426"/>
      <c r="L426"/>
      <c r="M426"/>
      <c r="N426"/>
      <c r="O426"/>
      <c r="P426"/>
      <c r="Q426"/>
      <c r="R426"/>
      <c r="S426"/>
    </row>
    <row r="427" spans="1:19" x14ac:dyDescent="0.25">
      <c r="A427"/>
      <c r="B427"/>
      <c r="C427"/>
      <c r="D427"/>
      <c r="E427"/>
      <c r="F427"/>
      <c r="G427"/>
      <c r="H427"/>
      <c r="I427"/>
      <c r="J427"/>
      <c r="K427"/>
      <c r="L427"/>
      <c r="M427"/>
      <c r="N427"/>
      <c r="O427"/>
      <c r="P427"/>
      <c r="Q427"/>
      <c r="R427"/>
      <c r="S427"/>
    </row>
    <row r="428" spans="1:19" x14ac:dyDescent="0.25">
      <c r="A428"/>
      <c r="B428"/>
      <c r="C428"/>
      <c r="D428"/>
      <c r="E428"/>
      <c r="F428"/>
      <c r="G428"/>
      <c r="H428"/>
      <c r="I428"/>
      <c r="J428"/>
      <c r="K428"/>
      <c r="L428"/>
      <c r="M428"/>
      <c r="N428"/>
      <c r="O428"/>
      <c r="P428"/>
      <c r="Q428"/>
      <c r="R428"/>
      <c r="S428"/>
    </row>
    <row r="429" spans="1:19" x14ac:dyDescent="0.25">
      <c r="A429"/>
      <c r="B429"/>
      <c r="C429"/>
      <c r="D429"/>
      <c r="E429"/>
      <c r="F429"/>
      <c r="G429"/>
      <c r="H429"/>
      <c r="I429"/>
      <c r="J429"/>
      <c r="K429"/>
      <c r="L429"/>
      <c r="M429"/>
      <c r="N429"/>
      <c r="O429"/>
      <c r="P429"/>
      <c r="Q429"/>
      <c r="R429"/>
      <c r="S429"/>
    </row>
    <row r="430" spans="1:19" x14ac:dyDescent="0.25">
      <c r="A430"/>
      <c r="B430"/>
      <c r="C430"/>
      <c r="D430"/>
      <c r="E430"/>
      <c r="F430"/>
      <c r="G430"/>
      <c r="H430"/>
      <c r="I430"/>
      <c r="J430"/>
      <c r="K430"/>
      <c r="L430"/>
      <c r="M430"/>
      <c r="N430"/>
      <c r="O430"/>
      <c r="P430"/>
      <c r="Q430"/>
      <c r="R430"/>
      <c r="S430"/>
    </row>
    <row r="431" spans="1:19" x14ac:dyDescent="0.25">
      <c r="A431"/>
      <c r="B431"/>
      <c r="C431"/>
      <c r="D431"/>
      <c r="E431"/>
      <c r="F431"/>
      <c r="G431"/>
      <c r="H431"/>
      <c r="I431"/>
      <c r="J431"/>
      <c r="K431"/>
      <c r="L431"/>
      <c r="M431"/>
      <c r="N431"/>
      <c r="O431"/>
      <c r="P431"/>
      <c r="Q431"/>
      <c r="R431"/>
      <c r="S431"/>
    </row>
    <row r="432" spans="1:19" x14ac:dyDescent="0.25">
      <c r="A432"/>
      <c r="B432"/>
      <c r="C432"/>
      <c r="D432"/>
      <c r="E432"/>
      <c r="F432"/>
      <c r="G432"/>
      <c r="H432"/>
      <c r="I432"/>
      <c r="J432"/>
      <c r="K432"/>
      <c r="L432"/>
      <c r="M432"/>
      <c r="N432"/>
      <c r="O432"/>
      <c r="P432"/>
      <c r="Q432"/>
      <c r="R432"/>
      <c r="S432"/>
    </row>
    <row r="433" spans="1:19" x14ac:dyDescent="0.25">
      <c r="A433"/>
      <c r="B433"/>
      <c r="C433"/>
      <c r="D433"/>
      <c r="E433"/>
      <c r="F433"/>
      <c r="G433"/>
      <c r="H433"/>
      <c r="I433"/>
      <c r="J433"/>
      <c r="K433"/>
      <c r="L433"/>
      <c r="M433"/>
      <c r="N433"/>
      <c r="O433"/>
      <c r="P433"/>
      <c r="Q433"/>
      <c r="R433"/>
      <c r="S433"/>
    </row>
    <row r="434" spans="1:19" x14ac:dyDescent="0.25">
      <c r="A434"/>
      <c r="B434"/>
      <c r="C434"/>
      <c r="D434"/>
      <c r="E434"/>
      <c r="F434"/>
      <c r="G434"/>
      <c r="H434"/>
      <c r="I434"/>
      <c r="J434"/>
      <c r="K434"/>
      <c r="L434"/>
      <c r="M434"/>
      <c r="N434"/>
      <c r="O434"/>
      <c r="P434"/>
      <c r="Q434"/>
      <c r="R434"/>
      <c r="S434"/>
    </row>
    <row r="435" spans="1:19" x14ac:dyDescent="0.25">
      <c r="A435"/>
      <c r="B435"/>
      <c r="C435"/>
      <c r="D435"/>
      <c r="E435"/>
      <c r="F435"/>
      <c r="G435"/>
      <c r="H435"/>
      <c r="I435"/>
      <c r="J435"/>
      <c r="K435"/>
      <c r="L435"/>
      <c r="M435"/>
      <c r="N435"/>
      <c r="O435"/>
      <c r="P435"/>
      <c r="Q435"/>
      <c r="R435"/>
      <c r="S435"/>
    </row>
    <row r="436" spans="1:19" x14ac:dyDescent="0.25">
      <c r="A436"/>
      <c r="B436"/>
      <c r="C436"/>
      <c r="D436"/>
      <c r="E436"/>
      <c r="F436"/>
      <c r="G436"/>
      <c r="H436"/>
      <c r="I436"/>
      <c r="J436"/>
      <c r="K436"/>
      <c r="L436"/>
      <c r="M436"/>
      <c r="N436"/>
      <c r="O436"/>
      <c r="P436"/>
      <c r="Q436"/>
      <c r="R436"/>
      <c r="S436"/>
    </row>
    <row r="437" spans="1:19" x14ac:dyDescent="0.25">
      <c r="A437"/>
      <c r="B437"/>
      <c r="C437"/>
      <c r="D437"/>
      <c r="E437"/>
      <c r="F437"/>
      <c r="G437"/>
      <c r="H437"/>
      <c r="I437"/>
      <c r="J437"/>
      <c r="K437"/>
      <c r="L437"/>
      <c r="M437"/>
      <c r="N437"/>
      <c r="O437"/>
      <c r="P437"/>
      <c r="Q437"/>
      <c r="R437"/>
      <c r="S437"/>
    </row>
    <row r="438" spans="1:19" x14ac:dyDescent="0.25">
      <c r="A438"/>
      <c r="B438"/>
      <c r="C438"/>
      <c r="D438"/>
      <c r="E438"/>
      <c r="F438"/>
      <c r="G438"/>
      <c r="H438"/>
      <c r="I438"/>
      <c r="J438"/>
      <c r="K438"/>
      <c r="L438"/>
      <c r="M438"/>
      <c r="N438"/>
      <c r="O438"/>
      <c r="P438"/>
      <c r="Q438"/>
      <c r="R438"/>
      <c r="S438"/>
    </row>
    <row r="439" spans="1:19" x14ac:dyDescent="0.25">
      <c r="A439"/>
      <c r="B439"/>
      <c r="C439"/>
      <c r="D439"/>
      <c r="E439"/>
      <c r="F439"/>
      <c r="G439"/>
      <c r="H439"/>
      <c r="I439"/>
      <c r="J439"/>
      <c r="K439"/>
      <c r="L439"/>
      <c r="M439"/>
      <c r="N439"/>
      <c r="O439"/>
      <c r="P439"/>
      <c r="Q439"/>
      <c r="R439"/>
      <c r="S439"/>
    </row>
    <row r="440" spans="1:19" x14ac:dyDescent="0.25">
      <c r="A440"/>
      <c r="B440"/>
      <c r="C440"/>
      <c r="D440"/>
      <c r="E440"/>
      <c r="F440"/>
      <c r="G440"/>
      <c r="H440"/>
      <c r="I440"/>
      <c r="J440"/>
      <c r="K440"/>
      <c r="L440"/>
      <c r="M440"/>
      <c r="N440"/>
      <c r="O440"/>
      <c r="P440"/>
      <c r="Q440"/>
      <c r="R440"/>
      <c r="S440"/>
    </row>
    <row r="441" spans="1:19" x14ac:dyDescent="0.25">
      <c r="A441"/>
      <c r="B441"/>
      <c r="C441"/>
      <c r="D441"/>
      <c r="E441"/>
      <c r="F441"/>
      <c r="G441"/>
      <c r="H441"/>
      <c r="I441"/>
      <c r="J441"/>
      <c r="K441"/>
      <c r="L441"/>
      <c r="M441"/>
      <c r="N441"/>
      <c r="O441"/>
      <c r="P441"/>
      <c r="Q441"/>
      <c r="R441"/>
      <c r="S441"/>
    </row>
    <row r="442" spans="1:19" x14ac:dyDescent="0.25">
      <c r="A442"/>
      <c r="B442"/>
      <c r="C442"/>
      <c r="D442"/>
      <c r="E442"/>
      <c r="F442"/>
      <c r="G442"/>
      <c r="H442"/>
      <c r="I442"/>
      <c r="J442"/>
      <c r="K442"/>
      <c r="L442"/>
      <c r="M442"/>
      <c r="N442"/>
      <c r="O442"/>
      <c r="P442"/>
      <c r="Q442"/>
      <c r="R442"/>
      <c r="S442"/>
    </row>
    <row r="443" spans="1:19" x14ac:dyDescent="0.25">
      <c r="A443"/>
      <c r="B443"/>
      <c r="C443"/>
      <c r="D443"/>
      <c r="E443"/>
      <c r="F443"/>
      <c r="G443"/>
      <c r="H443"/>
      <c r="I443"/>
      <c r="J443"/>
      <c r="K443"/>
      <c r="L443"/>
      <c r="M443"/>
      <c r="N443"/>
      <c r="O443"/>
      <c r="P443"/>
      <c r="Q443"/>
      <c r="R443"/>
      <c r="S443"/>
    </row>
    <row r="444" spans="1:19" x14ac:dyDescent="0.25">
      <c r="A444"/>
      <c r="B444"/>
      <c r="C444"/>
      <c r="D444"/>
      <c r="E444"/>
      <c r="F444"/>
      <c r="G444"/>
      <c r="H444"/>
      <c r="I444"/>
      <c r="J444"/>
      <c r="K444"/>
      <c r="L444"/>
      <c r="M444"/>
      <c r="N444"/>
      <c r="O444"/>
      <c r="P444"/>
      <c r="Q444"/>
      <c r="R444"/>
      <c r="S444"/>
    </row>
    <row r="445" spans="1:19" x14ac:dyDescent="0.25">
      <c r="A445"/>
      <c r="B445"/>
      <c r="C445"/>
      <c r="D445"/>
      <c r="E445"/>
      <c r="F445"/>
      <c r="G445"/>
      <c r="H445"/>
      <c r="I445"/>
      <c r="J445"/>
      <c r="K445"/>
      <c r="L445"/>
      <c r="M445"/>
      <c r="N445"/>
      <c r="O445"/>
      <c r="P445"/>
      <c r="Q445"/>
      <c r="R445"/>
      <c r="S445"/>
    </row>
    <row r="446" spans="1:19" x14ac:dyDescent="0.25">
      <c r="A446"/>
      <c r="B446"/>
      <c r="C446"/>
      <c r="D446"/>
      <c r="E446"/>
      <c r="F446"/>
      <c r="G446"/>
      <c r="H446"/>
      <c r="I446"/>
      <c r="J446"/>
      <c r="K446"/>
      <c r="L446"/>
      <c r="M446"/>
      <c r="N446"/>
      <c r="O446"/>
      <c r="P446"/>
      <c r="Q446"/>
      <c r="R446"/>
      <c r="S446"/>
    </row>
    <row r="447" spans="1:19" x14ac:dyDescent="0.25">
      <c r="A447"/>
      <c r="B447"/>
      <c r="C447"/>
      <c r="D447"/>
      <c r="E447"/>
      <c r="F447"/>
      <c r="G447"/>
      <c r="H447"/>
      <c r="I447"/>
      <c r="J447"/>
      <c r="K447"/>
      <c r="L447"/>
      <c r="M447"/>
      <c r="N447"/>
      <c r="O447"/>
      <c r="P447"/>
      <c r="Q447"/>
      <c r="R447"/>
      <c r="S447"/>
    </row>
    <row r="448" spans="1:19" x14ac:dyDescent="0.25">
      <c r="A448"/>
      <c r="B448"/>
      <c r="C448"/>
      <c r="D448"/>
      <c r="E448"/>
      <c r="F448"/>
      <c r="G448"/>
      <c r="H448"/>
      <c r="I448"/>
      <c r="J448"/>
      <c r="K448"/>
      <c r="L448"/>
      <c r="M448"/>
      <c r="N448"/>
      <c r="O448"/>
      <c r="P448"/>
      <c r="Q448"/>
      <c r="R448"/>
      <c r="S448"/>
    </row>
    <row r="449" spans="1:19" x14ac:dyDescent="0.25">
      <c r="A449"/>
      <c r="B449"/>
      <c r="C449"/>
      <c r="D449"/>
      <c r="E449"/>
      <c r="F449"/>
      <c r="G449"/>
      <c r="H449"/>
      <c r="I449"/>
      <c r="J449"/>
      <c r="K449"/>
      <c r="L449"/>
      <c r="M449"/>
      <c r="N449"/>
      <c r="O449"/>
      <c r="P449"/>
      <c r="Q449"/>
      <c r="R449"/>
      <c r="S449"/>
    </row>
    <row r="450" spans="1:19" x14ac:dyDescent="0.25">
      <c r="A450"/>
      <c r="B450"/>
      <c r="C450"/>
      <c r="D450"/>
      <c r="E450"/>
      <c r="F450"/>
      <c r="G450"/>
      <c r="H450"/>
      <c r="I450"/>
      <c r="J450"/>
      <c r="K450"/>
      <c r="L450"/>
      <c r="M450"/>
      <c r="N450"/>
      <c r="O450"/>
      <c r="P450"/>
      <c r="Q450"/>
      <c r="R450"/>
      <c r="S450"/>
    </row>
    <row r="451" spans="1:19" x14ac:dyDescent="0.25">
      <c r="A451"/>
      <c r="B451"/>
      <c r="C451"/>
      <c r="D451"/>
      <c r="E451"/>
      <c r="F451"/>
      <c r="G451"/>
      <c r="H451"/>
      <c r="I451"/>
      <c r="J451"/>
      <c r="K451"/>
      <c r="L451"/>
      <c r="M451"/>
      <c r="N451"/>
      <c r="O451"/>
      <c r="P451"/>
      <c r="Q451"/>
      <c r="R451"/>
      <c r="S451"/>
    </row>
    <row r="452" spans="1:19" x14ac:dyDescent="0.25">
      <c r="A452"/>
      <c r="B452"/>
      <c r="C452"/>
      <c r="D452"/>
      <c r="E452"/>
      <c r="F452"/>
      <c r="G452"/>
      <c r="H452"/>
      <c r="I452"/>
      <c r="J452"/>
      <c r="K452"/>
      <c r="L452"/>
      <c r="M452"/>
      <c r="N452"/>
      <c r="O452"/>
      <c r="P452"/>
      <c r="Q452"/>
      <c r="R452"/>
      <c r="S452"/>
    </row>
    <row r="453" spans="1:19" x14ac:dyDescent="0.25">
      <c r="A453"/>
      <c r="B453"/>
      <c r="C453"/>
      <c r="D453"/>
      <c r="E453"/>
      <c r="F453"/>
      <c r="G453"/>
      <c r="H453"/>
      <c r="I453"/>
      <c r="J453"/>
      <c r="K453"/>
      <c r="L453"/>
      <c r="M453"/>
      <c r="N453"/>
      <c r="O453"/>
      <c r="P453"/>
      <c r="Q453"/>
      <c r="R453"/>
      <c r="S453"/>
    </row>
    <row r="454" spans="1:19" x14ac:dyDescent="0.25">
      <c r="A454"/>
      <c r="B454"/>
      <c r="C454"/>
      <c r="D454"/>
      <c r="E454"/>
      <c r="F454"/>
      <c r="G454"/>
      <c r="H454"/>
      <c r="I454"/>
      <c r="J454"/>
      <c r="K454"/>
      <c r="L454"/>
      <c r="M454"/>
      <c r="N454"/>
      <c r="O454"/>
      <c r="P454"/>
      <c r="Q454"/>
      <c r="R454"/>
      <c r="S454"/>
    </row>
    <row r="455" spans="1:19" x14ac:dyDescent="0.25">
      <c r="A455"/>
      <c r="B455"/>
      <c r="C455"/>
      <c r="D455"/>
      <c r="E455"/>
      <c r="F455"/>
      <c r="G455"/>
      <c r="H455"/>
      <c r="I455"/>
      <c r="J455"/>
      <c r="K455"/>
      <c r="L455"/>
      <c r="M455"/>
      <c r="N455"/>
      <c r="O455"/>
      <c r="P455"/>
      <c r="Q455"/>
      <c r="R455"/>
      <c r="S455"/>
    </row>
    <row r="456" spans="1:19" x14ac:dyDescent="0.25">
      <c r="A456"/>
      <c r="B456"/>
      <c r="C456"/>
      <c r="D456"/>
      <c r="E456"/>
      <c r="F456"/>
      <c r="G456"/>
      <c r="H456"/>
      <c r="I456"/>
      <c r="J456"/>
      <c r="K456"/>
      <c r="L456"/>
      <c r="M456"/>
      <c r="N456"/>
      <c r="O456"/>
      <c r="P456"/>
      <c r="Q456"/>
      <c r="R456"/>
      <c r="S456"/>
    </row>
    <row r="457" spans="1:19" x14ac:dyDescent="0.25">
      <c r="A457"/>
      <c r="B457"/>
      <c r="C457"/>
      <c r="D457"/>
      <c r="E457"/>
      <c r="F457"/>
      <c r="G457"/>
      <c r="H457"/>
      <c r="I457"/>
      <c r="J457"/>
      <c r="K457"/>
      <c r="L457"/>
      <c r="M457"/>
      <c r="N457"/>
      <c r="O457"/>
      <c r="P457"/>
      <c r="Q457"/>
      <c r="R457"/>
      <c r="S457"/>
    </row>
    <row r="458" spans="1:19" x14ac:dyDescent="0.25">
      <c r="A458"/>
      <c r="B458"/>
      <c r="C458"/>
      <c r="D458"/>
      <c r="E458"/>
      <c r="F458"/>
      <c r="G458"/>
      <c r="H458"/>
      <c r="I458"/>
      <c r="J458"/>
      <c r="K458"/>
      <c r="L458"/>
      <c r="M458"/>
      <c r="N458"/>
      <c r="O458"/>
      <c r="P458"/>
      <c r="Q458"/>
      <c r="R458"/>
      <c r="S458"/>
    </row>
    <row r="459" spans="1:19" x14ac:dyDescent="0.25">
      <c r="A459"/>
      <c r="B459"/>
      <c r="C459"/>
      <c r="D459"/>
      <c r="E459"/>
      <c r="F459"/>
      <c r="G459"/>
      <c r="H459"/>
      <c r="I459"/>
      <c r="J459"/>
      <c r="K459"/>
      <c r="L459"/>
      <c r="M459"/>
      <c r="N459"/>
      <c r="O459"/>
      <c r="P459"/>
      <c r="Q459"/>
      <c r="R459"/>
      <c r="S459"/>
    </row>
    <row r="460" spans="1:19" x14ac:dyDescent="0.25">
      <c r="A460"/>
      <c r="B460"/>
      <c r="C460"/>
      <c r="D460"/>
      <c r="E460"/>
      <c r="F460"/>
      <c r="G460"/>
      <c r="H460"/>
      <c r="I460"/>
      <c r="J460"/>
      <c r="K460"/>
      <c r="L460"/>
      <c r="M460"/>
      <c r="N460"/>
      <c r="O460"/>
      <c r="P460"/>
      <c r="Q460"/>
      <c r="R460"/>
      <c r="S460"/>
    </row>
    <row r="461" spans="1:19" x14ac:dyDescent="0.25">
      <c r="A461"/>
      <c r="B461"/>
      <c r="C461"/>
      <c r="D461"/>
      <c r="E461"/>
      <c r="F461"/>
      <c r="G461"/>
      <c r="H461"/>
      <c r="I461"/>
      <c r="J461"/>
      <c r="K461"/>
      <c r="L461"/>
      <c r="M461"/>
      <c r="N461"/>
      <c r="O461"/>
      <c r="P461"/>
      <c r="Q461"/>
      <c r="R461"/>
      <c r="S461"/>
    </row>
    <row r="462" spans="1:19" x14ac:dyDescent="0.25">
      <c r="A462"/>
      <c r="B462"/>
      <c r="C462"/>
      <c r="D462"/>
      <c r="E462"/>
      <c r="F462"/>
      <c r="G462"/>
      <c r="H462"/>
      <c r="I462"/>
      <c r="J462"/>
      <c r="K462"/>
      <c r="L462"/>
      <c r="M462"/>
      <c r="N462"/>
      <c r="O462"/>
      <c r="P462"/>
      <c r="Q462"/>
      <c r="R462"/>
      <c r="S462"/>
    </row>
    <row r="463" spans="1:19" x14ac:dyDescent="0.25">
      <c r="A463"/>
      <c r="B463"/>
      <c r="C463"/>
      <c r="D463"/>
      <c r="E463"/>
      <c r="F463"/>
      <c r="G463"/>
      <c r="H463"/>
      <c r="I463"/>
      <c r="J463"/>
      <c r="K463"/>
      <c r="L463"/>
      <c r="M463"/>
      <c r="N463"/>
      <c r="O463"/>
      <c r="P463"/>
      <c r="Q463"/>
      <c r="R463"/>
      <c r="S463"/>
    </row>
    <row r="464" spans="1:19" x14ac:dyDescent="0.25">
      <c r="A464"/>
      <c r="B464"/>
      <c r="C464"/>
      <c r="D464"/>
      <c r="E464"/>
      <c r="F464"/>
      <c r="G464"/>
      <c r="H464"/>
      <c r="I464"/>
      <c r="J464"/>
      <c r="K464"/>
      <c r="L464"/>
      <c r="M464"/>
      <c r="N464"/>
      <c r="O464"/>
      <c r="P464"/>
      <c r="Q464"/>
      <c r="R464"/>
      <c r="S464"/>
    </row>
    <row r="465" spans="1:19" x14ac:dyDescent="0.25">
      <c r="A465"/>
      <c r="B465"/>
      <c r="C465"/>
      <c r="D465"/>
      <c r="E465"/>
      <c r="F465"/>
      <c r="G465"/>
      <c r="H465"/>
      <c r="I465"/>
      <c r="J465"/>
      <c r="K465"/>
      <c r="L465"/>
      <c r="M465"/>
      <c r="N465"/>
      <c r="O465"/>
      <c r="P465"/>
      <c r="Q465"/>
      <c r="R465"/>
      <c r="S465"/>
    </row>
    <row r="466" spans="1:19" x14ac:dyDescent="0.25">
      <c r="A466"/>
      <c r="B466"/>
      <c r="C466"/>
      <c r="D466"/>
      <c r="E466"/>
      <c r="F466"/>
      <c r="G466"/>
      <c r="H466"/>
      <c r="I466"/>
      <c r="J466"/>
      <c r="K466"/>
      <c r="L466"/>
      <c r="M466"/>
      <c r="N466"/>
      <c r="O466"/>
      <c r="P466"/>
      <c r="Q466"/>
      <c r="R466"/>
      <c r="S466"/>
    </row>
    <row r="467" spans="1:19" x14ac:dyDescent="0.25">
      <c r="A467"/>
      <c r="B467"/>
      <c r="C467"/>
      <c r="D467"/>
      <c r="E467"/>
      <c r="F467"/>
      <c r="G467"/>
      <c r="H467"/>
      <c r="I467"/>
      <c r="J467"/>
      <c r="K467"/>
      <c r="L467"/>
      <c r="M467"/>
      <c r="N467"/>
      <c r="O467"/>
      <c r="P467"/>
      <c r="Q467"/>
      <c r="R467"/>
      <c r="S467"/>
    </row>
    <row r="468" spans="1:19" x14ac:dyDescent="0.25">
      <c r="A468"/>
      <c r="B468"/>
      <c r="C468"/>
      <c r="D468"/>
      <c r="E468"/>
      <c r="F468"/>
      <c r="G468"/>
      <c r="H468"/>
      <c r="I468"/>
      <c r="J468"/>
      <c r="K468"/>
      <c r="L468"/>
      <c r="M468"/>
      <c r="N468"/>
      <c r="O468"/>
      <c r="P468"/>
      <c r="Q468"/>
      <c r="R468"/>
      <c r="S468"/>
    </row>
    <row r="469" spans="1:19" x14ac:dyDescent="0.25">
      <c r="A469"/>
      <c r="B469"/>
      <c r="C469"/>
      <c r="D469"/>
      <c r="E469"/>
      <c r="F469"/>
      <c r="G469"/>
      <c r="H469"/>
      <c r="I469"/>
      <c r="J469"/>
      <c r="K469"/>
      <c r="L469"/>
      <c r="M469"/>
      <c r="N469"/>
      <c r="O469"/>
      <c r="P469"/>
      <c r="Q469"/>
      <c r="R469"/>
      <c r="S469"/>
    </row>
    <row r="470" spans="1:19" x14ac:dyDescent="0.25">
      <c r="A470"/>
      <c r="B470"/>
      <c r="C470"/>
      <c r="D470"/>
      <c r="E470"/>
      <c r="F470"/>
      <c r="G470"/>
      <c r="H470"/>
      <c r="I470"/>
      <c r="J470"/>
      <c r="K470"/>
      <c r="L470"/>
      <c r="M470"/>
      <c r="N470"/>
      <c r="O470"/>
      <c r="P470"/>
      <c r="Q470"/>
      <c r="R470"/>
      <c r="S470"/>
    </row>
    <row r="471" spans="1:19" x14ac:dyDescent="0.25">
      <c r="A471"/>
      <c r="B471"/>
      <c r="C471"/>
      <c r="D471"/>
      <c r="E471"/>
      <c r="F471"/>
      <c r="G471"/>
      <c r="H471"/>
      <c r="I471"/>
      <c r="J471"/>
      <c r="K471"/>
      <c r="L471"/>
      <c r="M471"/>
      <c r="N471"/>
      <c r="O471"/>
      <c r="P471"/>
      <c r="Q471"/>
      <c r="R471"/>
      <c r="S471"/>
    </row>
    <row r="472" spans="1:19" x14ac:dyDescent="0.25">
      <c r="A472"/>
      <c r="B472"/>
      <c r="C472"/>
      <c r="D472"/>
      <c r="E472"/>
      <c r="F472"/>
      <c r="G472"/>
      <c r="H472"/>
      <c r="I472"/>
      <c r="J472"/>
      <c r="K472"/>
      <c r="L472"/>
      <c r="M472"/>
      <c r="N472"/>
      <c r="O472"/>
      <c r="P472"/>
      <c r="Q472"/>
      <c r="R472"/>
      <c r="S472"/>
    </row>
    <row r="473" spans="1:19" x14ac:dyDescent="0.25">
      <c r="A473"/>
      <c r="B473"/>
      <c r="C473"/>
      <c r="D473"/>
      <c r="E473"/>
      <c r="F473"/>
      <c r="G473"/>
      <c r="H473"/>
      <c r="I473"/>
      <c r="J473"/>
      <c r="K473"/>
      <c r="L473"/>
      <c r="M473"/>
      <c r="N473"/>
      <c r="O473"/>
      <c r="P473"/>
      <c r="Q473"/>
      <c r="R473"/>
      <c r="S473"/>
    </row>
    <row r="474" spans="1:19" x14ac:dyDescent="0.25">
      <c r="A474"/>
      <c r="B474"/>
      <c r="C474"/>
      <c r="D474"/>
      <c r="E474"/>
      <c r="F474"/>
      <c r="G474"/>
      <c r="H474"/>
      <c r="I474"/>
      <c r="J474"/>
      <c r="K474"/>
      <c r="L474"/>
      <c r="M474"/>
      <c r="N474"/>
      <c r="O474"/>
      <c r="P474"/>
      <c r="Q474"/>
      <c r="R474"/>
      <c r="S474"/>
    </row>
    <row r="475" spans="1:19" x14ac:dyDescent="0.25">
      <c r="A475"/>
      <c r="B475"/>
      <c r="C475"/>
      <c r="D475"/>
      <c r="E475"/>
      <c r="F475"/>
      <c r="G475"/>
      <c r="H475"/>
      <c r="I475"/>
      <c r="J475"/>
      <c r="K475"/>
      <c r="L475"/>
      <c r="M475"/>
      <c r="N475"/>
      <c r="O475"/>
      <c r="P475"/>
      <c r="Q475"/>
      <c r="R475"/>
      <c r="S475"/>
    </row>
    <row r="476" spans="1:19" x14ac:dyDescent="0.25">
      <c r="A476"/>
      <c r="B476"/>
      <c r="C476"/>
      <c r="D476"/>
      <c r="E476"/>
      <c r="F476"/>
      <c r="G476"/>
      <c r="H476"/>
      <c r="I476"/>
      <c r="J476"/>
      <c r="K476"/>
      <c r="L476"/>
      <c r="M476"/>
      <c r="N476"/>
      <c r="O476"/>
      <c r="P476"/>
      <c r="Q476"/>
      <c r="R476"/>
      <c r="S476"/>
    </row>
    <row r="477" spans="1:19" x14ac:dyDescent="0.25">
      <c r="A477"/>
      <c r="B477"/>
      <c r="C477"/>
      <c r="D477"/>
      <c r="E477"/>
      <c r="F477"/>
      <c r="G477"/>
      <c r="H477"/>
      <c r="I477"/>
      <c r="J477"/>
      <c r="K477"/>
      <c r="L477"/>
      <c r="M477"/>
      <c r="N477"/>
      <c r="O477"/>
      <c r="P477"/>
      <c r="Q477"/>
      <c r="R477"/>
      <c r="S477"/>
    </row>
    <row r="478" spans="1:19" x14ac:dyDescent="0.25">
      <c r="A478"/>
      <c r="B478"/>
      <c r="C478"/>
      <c r="D478"/>
      <c r="E478"/>
      <c r="F478"/>
      <c r="G478"/>
      <c r="H478"/>
      <c r="I478"/>
      <c r="J478"/>
      <c r="K478"/>
      <c r="L478"/>
      <c r="M478"/>
      <c r="N478"/>
      <c r="O478"/>
      <c r="P478"/>
      <c r="Q478"/>
      <c r="R478"/>
      <c r="S478"/>
    </row>
    <row r="479" spans="1:19" x14ac:dyDescent="0.25">
      <c r="A479"/>
      <c r="B479"/>
      <c r="C479"/>
      <c r="D479"/>
      <c r="E479"/>
      <c r="F479"/>
      <c r="G479"/>
      <c r="H479"/>
      <c r="I479"/>
      <c r="J479"/>
      <c r="K479"/>
      <c r="L479"/>
      <c r="M479"/>
      <c r="N479"/>
      <c r="O479"/>
      <c r="P479"/>
      <c r="Q479"/>
      <c r="R479"/>
      <c r="S479"/>
    </row>
    <row r="480" spans="1:19" x14ac:dyDescent="0.25">
      <c r="A480"/>
      <c r="B480"/>
      <c r="C480"/>
      <c r="D480"/>
      <c r="E480"/>
      <c r="F480"/>
      <c r="G480"/>
      <c r="H480"/>
      <c r="I480"/>
      <c r="J480"/>
      <c r="K480"/>
      <c r="L480"/>
      <c r="M480"/>
      <c r="N480"/>
      <c r="O480"/>
      <c r="P480"/>
      <c r="Q480"/>
      <c r="R480"/>
      <c r="S480"/>
    </row>
    <row r="481" spans="1:19" x14ac:dyDescent="0.25">
      <c r="A481"/>
      <c r="B481"/>
      <c r="C481"/>
      <c r="D481"/>
      <c r="E481"/>
      <c r="F481"/>
      <c r="G481"/>
      <c r="H481"/>
      <c r="I481"/>
      <c r="J481"/>
      <c r="K481"/>
      <c r="L481"/>
      <c r="M481"/>
      <c r="N481"/>
      <c r="O481"/>
      <c r="P481"/>
      <c r="Q481"/>
      <c r="R481"/>
      <c r="S481"/>
    </row>
    <row r="482" spans="1:19" x14ac:dyDescent="0.25">
      <c r="A482"/>
      <c r="B482"/>
      <c r="C482"/>
      <c r="D482"/>
      <c r="E482"/>
      <c r="F482"/>
      <c r="G482"/>
      <c r="H482"/>
      <c r="I482"/>
      <c r="J482"/>
      <c r="K482"/>
      <c r="L482"/>
      <c r="M482"/>
      <c r="N482"/>
      <c r="O482"/>
      <c r="P482"/>
      <c r="Q482"/>
      <c r="R482"/>
      <c r="S482"/>
    </row>
    <row r="483" spans="1:19" x14ac:dyDescent="0.25">
      <c r="A483"/>
      <c r="B483"/>
      <c r="C483"/>
      <c r="D483"/>
      <c r="E483"/>
      <c r="F483"/>
      <c r="G483"/>
      <c r="H483"/>
      <c r="I483"/>
      <c r="J483"/>
      <c r="K483"/>
      <c r="L483"/>
      <c r="M483"/>
      <c r="N483"/>
      <c r="O483"/>
      <c r="P483"/>
      <c r="Q483"/>
      <c r="R483"/>
      <c r="S483"/>
    </row>
    <row r="484" spans="1:19" x14ac:dyDescent="0.25">
      <c r="A484"/>
      <c r="B484"/>
      <c r="C484"/>
      <c r="D484"/>
      <c r="E484"/>
      <c r="F484"/>
      <c r="G484"/>
      <c r="H484"/>
      <c r="I484"/>
      <c r="J484"/>
      <c r="K484"/>
      <c r="L484"/>
      <c r="M484"/>
      <c r="N484"/>
      <c r="O484"/>
      <c r="P484"/>
      <c r="Q484"/>
      <c r="R484"/>
      <c r="S484"/>
    </row>
    <row r="485" spans="1:19" x14ac:dyDescent="0.25">
      <c r="A485"/>
      <c r="B485"/>
      <c r="C485"/>
      <c r="D485"/>
      <c r="E485"/>
      <c r="F485"/>
      <c r="G485"/>
      <c r="H485"/>
      <c r="I485"/>
      <c r="J485"/>
      <c r="K485"/>
      <c r="L485"/>
      <c r="M485"/>
      <c r="N485"/>
      <c r="O485"/>
      <c r="P485"/>
      <c r="Q485"/>
      <c r="R485"/>
      <c r="S485"/>
    </row>
    <row r="486" spans="1:19" x14ac:dyDescent="0.25">
      <c r="A486"/>
      <c r="B486"/>
      <c r="C486"/>
      <c r="D486"/>
      <c r="E486"/>
      <c r="F486"/>
      <c r="G486"/>
      <c r="H486"/>
      <c r="I486"/>
      <c r="J486"/>
      <c r="K486"/>
      <c r="L486"/>
      <c r="M486"/>
      <c r="N486"/>
      <c r="O486"/>
      <c r="P486"/>
      <c r="Q486"/>
      <c r="R486"/>
      <c r="S486"/>
    </row>
    <row r="487" spans="1:19" x14ac:dyDescent="0.25">
      <c r="A487"/>
      <c r="B487"/>
      <c r="C487"/>
      <c r="D487"/>
      <c r="E487"/>
      <c r="F487"/>
      <c r="G487"/>
      <c r="H487"/>
      <c r="I487"/>
      <c r="J487"/>
      <c r="K487"/>
      <c r="L487"/>
      <c r="M487"/>
      <c r="N487"/>
      <c r="O487"/>
      <c r="P487"/>
      <c r="Q487"/>
      <c r="R487"/>
      <c r="S487"/>
    </row>
    <row r="488" spans="1:19" x14ac:dyDescent="0.25">
      <c r="A488"/>
      <c r="B488"/>
      <c r="C488"/>
      <c r="D488"/>
      <c r="E488"/>
      <c r="F488"/>
      <c r="G488"/>
      <c r="H488"/>
      <c r="I488"/>
      <c r="J488"/>
      <c r="K488"/>
      <c r="L488"/>
      <c r="M488"/>
      <c r="N488"/>
      <c r="O488"/>
      <c r="P488"/>
      <c r="Q488"/>
      <c r="R488"/>
      <c r="S488"/>
    </row>
    <row r="489" spans="1:19" x14ac:dyDescent="0.25">
      <c r="A489"/>
      <c r="B489"/>
      <c r="C489"/>
      <c r="D489"/>
      <c r="E489"/>
      <c r="F489"/>
      <c r="G489"/>
      <c r="H489"/>
      <c r="I489"/>
      <c r="J489"/>
      <c r="K489"/>
      <c r="L489"/>
      <c r="M489"/>
      <c r="N489"/>
      <c r="O489"/>
      <c r="P489"/>
      <c r="Q489"/>
      <c r="R489"/>
      <c r="S489"/>
    </row>
    <row r="490" spans="1:19" x14ac:dyDescent="0.25">
      <c r="A490"/>
      <c r="B490"/>
      <c r="C490"/>
      <c r="D490"/>
      <c r="E490"/>
      <c r="F490"/>
      <c r="G490"/>
      <c r="H490"/>
      <c r="I490"/>
      <c r="J490"/>
      <c r="K490"/>
      <c r="L490"/>
      <c r="M490"/>
      <c r="N490"/>
      <c r="O490"/>
      <c r="P490"/>
      <c r="Q490"/>
      <c r="R490"/>
      <c r="S490"/>
    </row>
    <row r="491" spans="1:19" x14ac:dyDescent="0.25">
      <c r="A491"/>
      <c r="B491"/>
      <c r="C491"/>
      <c r="D491"/>
      <c r="E491"/>
      <c r="F491"/>
      <c r="G491"/>
      <c r="H491"/>
      <c r="I491"/>
      <c r="J491"/>
      <c r="K491"/>
      <c r="L491"/>
      <c r="M491"/>
      <c r="N491"/>
      <c r="O491"/>
      <c r="P491"/>
      <c r="Q491"/>
      <c r="R491"/>
      <c r="S491"/>
    </row>
    <row r="492" spans="1:19" x14ac:dyDescent="0.25">
      <c r="A492"/>
      <c r="B492"/>
      <c r="C492"/>
      <c r="D492"/>
      <c r="E492"/>
      <c r="F492"/>
      <c r="G492"/>
      <c r="H492"/>
      <c r="I492"/>
      <c r="J492"/>
      <c r="K492"/>
      <c r="L492"/>
      <c r="M492"/>
      <c r="N492"/>
      <c r="O492"/>
      <c r="P492"/>
      <c r="Q492"/>
      <c r="R492"/>
      <c r="S492"/>
    </row>
    <row r="493" spans="1:19" x14ac:dyDescent="0.25">
      <c r="A493"/>
      <c r="B493"/>
      <c r="C493"/>
      <c r="D493"/>
      <c r="E493"/>
      <c r="F493"/>
      <c r="G493"/>
      <c r="H493"/>
      <c r="I493"/>
      <c r="J493"/>
      <c r="K493"/>
      <c r="L493"/>
      <c r="M493"/>
      <c r="N493"/>
      <c r="O493"/>
      <c r="P493"/>
      <c r="Q493"/>
      <c r="R493"/>
      <c r="S493"/>
    </row>
    <row r="494" spans="1:19" x14ac:dyDescent="0.25">
      <c r="A494"/>
      <c r="B494"/>
      <c r="C494"/>
      <c r="D494"/>
      <c r="E494"/>
      <c r="F494"/>
      <c r="G494"/>
      <c r="H494"/>
      <c r="I494"/>
      <c r="J494"/>
      <c r="K494"/>
      <c r="L494"/>
      <c r="M494"/>
      <c r="N494"/>
      <c r="O494"/>
      <c r="P494"/>
      <c r="Q494"/>
      <c r="R494"/>
      <c r="S494"/>
    </row>
    <row r="495" spans="1:19" x14ac:dyDescent="0.25">
      <c r="A495"/>
      <c r="B495"/>
      <c r="C495"/>
      <c r="D495"/>
      <c r="E495"/>
      <c r="F495"/>
      <c r="G495"/>
      <c r="H495"/>
      <c r="I495"/>
      <c r="J495"/>
      <c r="K495"/>
      <c r="L495"/>
      <c r="M495"/>
      <c r="N495"/>
      <c r="O495"/>
      <c r="P495"/>
      <c r="Q495"/>
      <c r="R495"/>
      <c r="S495"/>
    </row>
    <row r="496" spans="1:19" x14ac:dyDescent="0.25">
      <c r="A496"/>
      <c r="B496"/>
      <c r="C496"/>
      <c r="D496"/>
      <c r="E496"/>
      <c r="F496"/>
      <c r="G496"/>
      <c r="H496"/>
      <c r="I496"/>
      <c r="J496"/>
      <c r="K496"/>
      <c r="L496"/>
      <c r="M496"/>
      <c r="N496"/>
      <c r="O496"/>
      <c r="P496"/>
      <c r="Q496"/>
      <c r="R496"/>
      <c r="S496"/>
    </row>
    <row r="497" spans="1:19" x14ac:dyDescent="0.25">
      <c r="A497"/>
      <c r="B497"/>
      <c r="C497"/>
      <c r="D497"/>
      <c r="E497"/>
      <c r="F497"/>
      <c r="G497"/>
      <c r="H497"/>
      <c r="I497"/>
      <c r="J497"/>
      <c r="K497"/>
      <c r="L497"/>
      <c r="M497"/>
      <c r="N497"/>
      <c r="O497"/>
      <c r="P497"/>
      <c r="Q497"/>
      <c r="R497"/>
      <c r="S497"/>
    </row>
    <row r="498" spans="1:19" x14ac:dyDescent="0.25">
      <c r="A498"/>
      <c r="B498"/>
      <c r="C498"/>
      <c r="D498"/>
      <c r="E498"/>
      <c r="F498"/>
      <c r="G498"/>
      <c r="H498"/>
      <c r="I498"/>
      <c r="J498"/>
      <c r="K498"/>
      <c r="L498"/>
      <c r="M498"/>
      <c r="N498"/>
      <c r="O498"/>
      <c r="P498"/>
      <c r="Q498"/>
      <c r="R498"/>
      <c r="S498"/>
    </row>
    <row r="499" spans="1:19" x14ac:dyDescent="0.25">
      <c r="A499"/>
      <c r="B499"/>
      <c r="C499"/>
      <c r="D499"/>
      <c r="E499"/>
      <c r="F499"/>
      <c r="G499"/>
      <c r="H499"/>
      <c r="I499"/>
      <c r="J499"/>
      <c r="K499"/>
      <c r="L499"/>
      <c r="M499"/>
      <c r="N499"/>
      <c r="O499"/>
      <c r="P499"/>
      <c r="Q499"/>
      <c r="R499"/>
      <c r="S499"/>
    </row>
    <row r="500" spans="1:19" x14ac:dyDescent="0.25">
      <c r="A500"/>
      <c r="B500"/>
      <c r="C500"/>
      <c r="D500"/>
      <c r="E500"/>
      <c r="F500"/>
      <c r="G500"/>
      <c r="H500"/>
      <c r="I500"/>
      <c r="J500"/>
      <c r="K500"/>
      <c r="L500"/>
      <c r="M500"/>
      <c r="N500"/>
      <c r="O500"/>
      <c r="P500"/>
      <c r="Q500"/>
      <c r="R500"/>
      <c r="S500"/>
    </row>
    <row r="501" spans="1:19" x14ac:dyDescent="0.25">
      <c r="A501"/>
      <c r="B501"/>
      <c r="C501"/>
      <c r="D501"/>
      <c r="E501"/>
      <c r="F501"/>
      <c r="G501"/>
      <c r="H501"/>
      <c r="I501"/>
      <c r="J501"/>
      <c r="K501"/>
      <c r="L501"/>
      <c r="M501"/>
      <c r="N501"/>
      <c r="O501"/>
      <c r="P501"/>
      <c r="Q501"/>
      <c r="R501"/>
      <c r="S501"/>
    </row>
    <row r="502" spans="1:19" x14ac:dyDescent="0.25">
      <c r="A502"/>
      <c r="B502"/>
      <c r="C502"/>
      <c r="D502"/>
      <c r="E502"/>
      <c r="F502"/>
      <c r="G502"/>
      <c r="H502"/>
      <c r="I502"/>
      <c r="J502"/>
      <c r="K502"/>
      <c r="L502"/>
      <c r="M502"/>
      <c r="N502"/>
      <c r="O502"/>
      <c r="P502"/>
      <c r="Q502"/>
      <c r="R502"/>
      <c r="S502"/>
    </row>
    <row r="503" spans="1:19" x14ac:dyDescent="0.25">
      <c r="A503"/>
      <c r="B503"/>
      <c r="C503"/>
      <c r="D503"/>
      <c r="E503"/>
      <c r="F503"/>
      <c r="G503"/>
      <c r="H503"/>
      <c r="I503"/>
      <c r="J503"/>
      <c r="K503"/>
      <c r="L503"/>
      <c r="M503"/>
      <c r="N503"/>
      <c r="O503"/>
      <c r="P503"/>
      <c r="Q503"/>
      <c r="R503"/>
      <c r="S503"/>
    </row>
    <row r="504" spans="1:19" x14ac:dyDescent="0.25">
      <c r="A504"/>
      <c r="B504"/>
      <c r="C504"/>
      <c r="D504"/>
      <c r="E504"/>
      <c r="F504"/>
      <c r="G504"/>
      <c r="H504"/>
      <c r="I504"/>
      <c r="J504"/>
      <c r="K504"/>
      <c r="L504"/>
      <c r="M504"/>
      <c r="N504"/>
      <c r="O504"/>
      <c r="P504"/>
      <c r="Q504"/>
      <c r="R504"/>
      <c r="S504"/>
    </row>
    <row r="505" spans="1:19" x14ac:dyDescent="0.25">
      <c r="A505"/>
      <c r="B505"/>
      <c r="C505"/>
      <c r="D505"/>
      <c r="E505"/>
      <c r="F505"/>
      <c r="G505"/>
      <c r="H505"/>
      <c r="I505"/>
      <c r="J505"/>
      <c r="K505"/>
      <c r="L505"/>
      <c r="M505"/>
      <c r="N505"/>
      <c r="O505"/>
      <c r="P505"/>
      <c r="Q505"/>
      <c r="R505"/>
      <c r="S505"/>
    </row>
    <row r="506" spans="1:19" x14ac:dyDescent="0.25">
      <c r="A506"/>
      <c r="B506"/>
      <c r="C506"/>
      <c r="D506"/>
      <c r="E506"/>
      <c r="F506"/>
      <c r="G506"/>
      <c r="H506"/>
      <c r="I506"/>
      <c r="J506"/>
      <c r="K506"/>
      <c r="L506"/>
      <c r="M506"/>
      <c r="N506"/>
      <c r="O506"/>
      <c r="P506"/>
      <c r="Q506"/>
      <c r="R506"/>
      <c r="S506"/>
    </row>
    <row r="507" spans="1:19" x14ac:dyDescent="0.25">
      <c r="A507"/>
      <c r="B507"/>
      <c r="C507"/>
      <c r="D507"/>
      <c r="E507"/>
      <c r="F507"/>
      <c r="G507"/>
      <c r="H507"/>
      <c r="I507"/>
      <c r="J507"/>
      <c r="K507"/>
      <c r="L507"/>
      <c r="M507"/>
      <c r="N507"/>
      <c r="O507"/>
      <c r="P507"/>
      <c r="Q507"/>
      <c r="R507"/>
      <c r="S507"/>
    </row>
    <row r="508" spans="1:19" x14ac:dyDescent="0.25">
      <c r="A508"/>
      <c r="B508"/>
      <c r="C508"/>
      <c r="D508"/>
      <c r="E508"/>
      <c r="F508"/>
      <c r="G508"/>
      <c r="H508"/>
      <c r="I508"/>
      <c r="J508"/>
      <c r="K508"/>
      <c r="L508"/>
      <c r="M508"/>
      <c r="N508"/>
      <c r="O508"/>
      <c r="P508"/>
      <c r="Q508"/>
      <c r="R508"/>
      <c r="S508"/>
    </row>
    <row r="509" spans="1:19" x14ac:dyDescent="0.25">
      <c r="A509"/>
      <c r="B509"/>
      <c r="C509"/>
      <c r="D509"/>
      <c r="E509"/>
      <c r="F509"/>
      <c r="G509"/>
      <c r="H509"/>
      <c r="I509"/>
      <c r="J509"/>
      <c r="K509"/>
      <c r="L509"/>
      <c r="M509"/>
      <c r="N509"/>
      <c r="O509"/>
      <c r="P509"/>
      <c r="Q509"/>
      <c r="R509"/>
      <c r="S509"/>
    </row>
    <row r="510" spans="1:19" x14ac:dyDescent="0.25">
      <c r="A510"/>
      <c r="B510"/>
      <c r="C510"/>
      <c r="D510"/>
      <c r="E510"/>
      <c r="F510"/>
      <c r="G510"/>
      <c r="H510"/>
      <c r="I510"/>
      <c r="J510"/>
      <c r="K510"/>
      <c r="L510"/>
      <c r="M510"/>
      <c r="N510"/>
      <c r="O510"/>
      <c r="P510"/>
      <c r="Q510"/>
      <c r="R510"/>
      <c r="S510"/>
    </row>
    <row r="511" spans="1:19" x14ac:dyDescent="0.25">
      <c r="A511"/>
      <c r="B511"/>
      <c r="C511"/>
      <c r="D511"/>
      <c r="E511"/>
      <c r="F511"/>
      <c r="G511"/>
      <c r="H511"/>
      <c r="I511"/>
      <c r="J511"/>
      <c r="K511"/>
      <c r="L511"/>
      <c r="M511"/>
      <c r="N511"/>
      <c r="O511"/>
      <c r="P511"/>
      <c r="Q511"/>
      <c r="R511"/>
      <c r="S511"/>
    </row>
    <row r="512" spans="1:19" x14ac:dyDescent="0.25">
      <c r="A512"/>
      <c r="B512"/>
      <c r="C512"/>
      <c r="D512"/>
      <c r="E512"/>
      <c r="F512"/>
      <c r="G512"/>
      <c r="H512"/>
      <c r="I512"/>
      <c r="J512"/>
      <c r="K512"/>
      <c r="L512"/>
      <c r="M512"/>
      <c r="N512"/>
      <c r="O512"/>
      <c r="P512"/>
      <c r="Q512"/>
      <c r="R512"/>
      <c r="S512"/>
    </row>
    <row r="513" spans="1:19" x14ac:dyDescent="0.25">
      <c r="A513"/>
      <c r="B513"/>
      <c r="C513"/>
      <c r="D513"/>
      <c r="E513"/>
      <c r="F513"/>
      <c r="G513"/>
      <c r="H513"/>
      <c r="I513"/>
      <c r="J513"/>
      <c r="K513"/>
      <c r="L513"/>
      <c r="M513"/>
      <c r="N513"/>
      <c r="O513"/>
      <c r="P513"/>
      <c r="Q513"/>
      <c r="R513"/>
      <c r="S513"/>
    </row>
    <row r="514" spans="1:19" x14ac:dyDescent="0.25">
      <c r="A514"/>
      <c r="B514"/>
      <c r="C514"/>
      <c r="D514"/>
      <c r="E514"/>
      <c r="F514"/>
      <c r="G514"/>
      <c r="H514"/>
      <c r="I514"/>
      <c r="J514"/>
      <c r="K514"/>
      <c r="L514"/>
      <c r="M514"/>
      <c r="N514"/>
      <c r="O514"/>
      <c r="P514"/>
      <c r="Q514"/>
      <c r="R514"/>
      <c r="S514"/>
    </row>
    <row r="515" spans="1:19" x14ac:dyDescent="0.25">
      <c r="A515"/>
      <c r="B515"/>
      <c r="C515"/>
      <c r="D515"/>
      <c r="E515"/>
      <c r="F515"/>
      <c r="G515"/>
      <c r="H515"/>
      <c r="I515"/>
      <c r="J515"/>
      <c r="K515"/>
      <c r="L515"/>
      <c r="M515"/>
      <c r="N515"/>
      <c r="O515"/>
      <c r="P515"/>
      <c r="Q515"/>
      <c r="R515"/>
      <c r="S515"/>
    </row>
    <row r="516" spans="1:19" x14ac:dyDescent="0.25">
      <c r="A516"/>
      <c r="B516"/>
      <c r="C516"/>
      <c r="D516"/>
      <c r="E516"/>
      <c r="F516"/>
      <c r="G516"/>
      <c r="H516"/>
      <c r="I516"/>
      <c r="J516"/>
      <c r="K516"/>
      <c r="L516"/>
      <c r="M516"/>
      <c r="N516"/>
      <c r="O516"/>
      <c r="P516"/>
      <c r="Q516"/>
      <c r="R516"/>
      <c r="S516"/>
    </row>
    <row r="517" spans="1:19" x14ac:dyDescent="0.25">
      <c r="A517"/>
      <c r="B517"/>
      <c r="C517"/>
      <c r="D517"/>
      <c r="E517"/>
      <c r="F517"/>
      <c r="G517"/>
      <c r="H517"/>
      <c r="I517"/>
      <c r="J517"/>
      <c r="K517"/>
      <c r="L517"/>
      <c r="M517"/>
      <c r="N517"/>
      <c r="O517"/>
      <c r="P517"/>
      <c r="Q517"/>
      <c r="R517"/>
      <c r="S517"/>
    </row>
    <row r="518" spans="1:19" x14ac:dyDescent="0.25">
      <c r="A518"/>
      <c r="B518"/>
      <c r="C518"/>
      <c r="D518"/>
      <c r="E518"/>
      <c r="F518"/>
      <c r="G518"/>
      <c r="H518"/>
      <c r="I518"/>
      <c r="J518"/>
      <c r="K518"/>
      <c r="L518"/>
      <c r="M518"/>
      <c r="N518"/>
      <c r="O518"/>
      <c r="P518"/>
      <c r="Q518"/>
      <c r="R518"/>
      <c r="S518"/>
    </row>
    <row r="519" spans="1:19" x14ac:dyDescent="0.25">
      <c r="A519"/>
      <c r="B519"/>
      <c r="C519"/>
      <c r="D519"/>
      <c r="E519"/>
      <c r="F519"/>
      <c r="G519"/>
      <c r="H519"/>
      <c r="I519"/>
      <c r="J519"/>
      <c r="K519"/>
      <c r="L519"/>
      <c r="M519"/>
      <c r="N519"/>
      <c r="O519"/>
      <c r="P519"/>
      <c r="Q519"/>
      <c r="R519"/>
      <c r="S519"/>
    </row>
    <row r="520" spans="1:19" x14ac:dyDescent="0.25">
      <c r="A520"/>
      <c r="B520"/>
      <c r="C520"/>
      <c r="D520"/>
      <c r="E520"/>
      <c r="F520"/>
      <c r="G520"/>
      <c r="H520"/>
      <c r="I520"/>
      <c r="J520"/>
      <c r="K520"/>
      <c r="L520"/>
      <c r="M520"/>
      <c r="N520"/>
      <c r="O520"/>
      <c r="P520"/>
      <c r="Q520"/>
      <c r="R520"/>
      <c r="S520"/>
    </row>
    <row r="521" spans="1:19" x14ac:dyDescent="0.25">
      <c r="A521"/>
      <c r="B521"/>
      <c r="C521"/>
      <c r="D521"/>
      <c r="E521"/>
      <c r="F521"/>
      <c r="G521"/>
      <c r="H521"/>
      <c r="I521"/>
      <c r="J521"/>
      <c r="K521"/>
      <c r="L521"/>
      <c r="M521"/>
      <c r="N521"/>
      <c r="O521"/>
      <c r="P521"/>
      <c r="Q521"/>
      <c r="R521"/>
      <c r="S521"/>
    </row>
    <row r="522" spans="1:19" x14ac:dyDescent="0.25">
      <c r="A522"/>
      <c r="B522"/>
      <c r="C522"/>
      <c r="D522"/>
      <c r="E522"/>
      <c r="F522"/>
      <c r="G522"/>
      <c r="H522"/>
      <c r="I522"/>
      <c r="J522"/>
      <c r="K522"/>
      <c r="L522"/>
      <c r="M522"/>
      <c r="N522"/>
      <c r="O522"/>
      <c r="P522"/>
      <c r="Q522"/>
      <c r="R522"/>
      <c r="S522"/>
    </row>
    <row r="523" spans="1:19" x14ac:dyDescent="0.25">
      <c r="A523"/>
      <c r="B523"/>
      <c r="C523"/>
      <c r="D523"/>
      <c r="E523"/>
      <c r="F523"/>
      <c r="G523"/>
      <c r="H523"/>
      <c r="I523"/>
      <c r="J523"/>
      <c r="K523"/>
      <c r="L523"/>
      <c r="M523"/>
      <c r="N523"/>
      <c r="O523"/>
      <c r="P523"/>
      <c r="Q523"/>
      <c r="R523"/>
      <c r="S523"/>
    </row>
    <row r="524" spans="1:19" x14ac:dyDescent="0.25">
      <c r="A524"/>
      <c r="B524"/>
      <c r="C524"/>
      <c r="D524"/>
      <c r="E524"/>
      <c r="F524"/>
      <c r="G524"/>
      <c r="H524"/>
      <c r="I524"/>
      <c r="J524"/>
      <c r="K524"/>
      <c r="L524"/>
      <c r="M524"/>
      <c r="N524"/>
      <c r="O524"/>
      <c r="P524"/>
      <c r="Q524"/>
      <c r="R524"/>
      <c r="S524"/>
    </row>
    <row r="525" spans="1:19" x14ac:dyDescent="0.25">
      <c r="A525"/>
      <c r="B525"/>
      <c r="C525"/>
      <c r="D525"/>
      <c r="E525"/>
      <c r="F525"/>
      <c r="G525"/>
      <c r="H525"/>
      <c r="I525"/>
      <c r="J525"/>
      <c r="K525"/>
      <c r="L525"/>
      <c r="M525"/>
      <c r="N525"/>
      <c r="O525"/>
      <c r="P525"/>
      <c r="Q525"/>
      <c r="R525"/>
      <c r="S525"/>
    </row>
    <row r="526" spans="1:19" x14ac:dyDescent="0.25">
      <c r="A526"/>
      <c r="B526"/>
      <c r="C526"/>
      <c r="D526"/>
      <c r="E526"/>
      <c r="F526"/>
      <c r="G526"/>
      <c r="H526"/>
      <c r="I526"/>
      <c r="J526"/>
      <c r="K526"/>
      <c r="L526"/>
      <c r="M526"/>
      <c r="N526"/>
      <c r="O526"/>
      <c r="P526"/>
      <c r="Q526"/>
      <c r="R526"/>
      <c r="S526"/>
    </row>
    <row r="527" spans="1:19" x14ac:dyDescent="0.25">
      <c r="A527"/>
      <c r="B527"/>
      <c r="C527"/>
      <c r="D527"/>
      <c r="E527"/>
      <c r="F527"/>
      <c r="G527"/>
      <c r="H527"/>
      <c r="I527"/>
      <c r="J527"/>
      <c r="K527"/>
      <c r="L527"/>
      <c r="M527"/>
      <c r="N527"/>
      <c r="O527"/>
      <c r="P527"/>
      <c r="Q527"/>
      <c r="R527"/>
      <c r="S527"/>
    </row>
    <row r="528" spans="1:19" x14ac:dyDescent="0.25">
      <c r="A528"/>
      <c r="B528"/>
      <c r="C528"/>
      <c r="D528"/>
      <c r="E528"/>
      <c r="F528"/>
      <c r="G528"/>
      <c r="H528"/>
      <c r="I528"/>
      <c r="J528"/>
      <c r="K528"/>
      <c r="L528"/>
      <c r="M528"/>
      <c r="N528"/>
      <c r="O528"/>
      <c r="P528"/>
      <c r="Q528"/>
      <c r="R528"/>
      <c r="S528"/>
    </row>
    <row r="529" spans="1:19" x14ac:dyDescent="0.25">
      <c r="A529"/>
      <c r="B529"/>
      <c r="C529"/>
      <c r="D529"/>
      <c r="E529"/>
      <c r="F529"/>
      <c r="G529"/>
      <c r="H529"/>
      <c r="I529"/>
      <c r="J529"/>
      <c r="K529"/>
      <c r="L529"/>
      <c r="M529"/>
      <c r="N529"/>
      <c r="O529"/>
      <c r="P529"/>
      <c r="Q529"/>
      <c r="R529"/>
      <c r="S529"/>
    </row>
    <row r="530" spans="1:19" x14ac:dyDescent="0.25">
      <c r="A530"/>
      <c r="B530"/>
      <c r="C530"/>
      <c r="D530"/>
      <c r="E530"/>
      <c r="F530"/>
      <c r="G530"/>
      <c r="H530"/>
      <c r="I530"/>
      <c r="J530"/>
      <c r="K530"/>
      <c r="L530"/>
      <c r="M530"/>
      <c r="N530"/>
      <c r="O530"/>
      <c r="P530"/>
      <c r="Q530"/>
      <c r="R530"/>
      <c r="S530"/>
    </row>
    <row r="531" spans="1:19" x14ac:dyDescent="0.25">
      <c r="A531"/>
      <c r="B531"/>
      <c r="C531"/>
      <c r="D531"/>
      <c r="E531"/>
      <c r="F531"/>
      <c r="G531"/>
      <c r="H531"/>
      <c r="I531"/>
      <c r="J531"/>
      <c r="K531"/>
      <c r="L531"/>
      <c r="M531"/>
      <c r="N531"/>
      <c r="O531"/>
      <c r="P531"/>
      <c r="Q531"/>
      <c r="R531"/>
      <c r="S531"/>
    </row>
    <row r="532" spans="1:19" x14ac:dyDescent="0.25">
      <c r="A532"/>
      <c r="B532"/>
      <c r="C532"/>
      <c r="D532"/>
      <c r="E532"/>
      <c r="F532"/>
      <c r="G532"/>
      <c r="H532"/>
      <c r="I532"/>
      <c r="J532"/>
      <c r="K532"/>
      <c r="L532"/>
      <c r="M532"/>
      <c r="N532"/>
      <c r="O532"/>
      <c r="P532"/>
      <c r="Q532"/>
      <c r="R532"/>
      <c r="S532"/>
    </row>
    <row r="533" spans="1:19" x14ac:dyDescent="0.25">
      <c r="A533"/>
      <c r="B533"/>
      <c r="C533"/>
      <c r="D533"/>
      <c r="E533"/>
      <c r="F533"/>
      <c r="G533"/>
      <c r="H533"/>
      <c r="I533"/>
      <c r="J533"/>
      <c r="K533"/>
      <c r="L533"/>
      <c r="M533"/>
      <c r="N533"/>
      <c r="O533"/>
      <c r="P533"/>
      <c r="Q533"/>
      <c r="R533"/>
      <c r="S533"/>
    </row>
    <row r="534" spans="1:19" x14ac:dyDescent="0.25">
      <c r="A534"/>
      <c r="B534"/>
      <c r="C534"/>
      <c r="D534"/>
      <c r="E534"/>
      <c r="F534"/>
      <c r="G534"/>
      <c r="H534"/>
      <c r="I534"/>
      <c r="J534"/>
      <c r="K534"/>
      <c r="L534"/>
      <c r="M534"/>
      <c r="N534"/>
      <c r="O534"/>
      <c r="P534"/>
      <c r="Q534"/>
      <c r="R534"/>
      <c r="S534"/>
    </row>
    <row r="535" spans="1:19" x14ac:dyDescent="0.25">
      <c r="A535"/>
      <c r="B535"/>
      <c r="C535"/>
      <c r="D535"/>
      <c r="E535"/>
      <c r="F535"/>
      <c r="G535"/>
      <c r="H535"/>
      <c r="I535"/>
      <c r="J535"/>
      <c r="K535"/>
      <c r="L535"/>
      <c r="M535"/>
      <c r="N535"/>
      <c r="O535"/>
      <c r="P535"/>
      <c r="Q535"/>
      <c r="R535"/>
      <c r="S535"/>
    </row>
    <row r="536" spans="1:19" x14ac:dyDescent="0.25">
      <c r="A536"/>
      <c r="B536"/>
      <c r="C536"/>
      <c r="D536"/>
      <c r="E536"/>
      <c r="F536"/>
      <c r="G536"/>
      <c r="H536"/>
      <c r="I536"/>
      <c r="J536"/>
      <c r="K536"/>
      <c r="L536"/>
      <c r="M536"/>
      <c r="N536"/>
      <c r="O536"/>
      <c r="P536"/>
      <c r="Q536"/>
      <c r="R536"/>
      <c r="S536"/>
    </row>
    <row r="537" spans="1:19" x14ac:dyDescent="0.25">
      <c r="A537"/>
      <c r="B537"/>
      <c r="C537"/>
      <c r="D537"/>
      <c r="E537"/>
      <c r="F537"/>
      <c r="G537"/>
      <c r="H537"/>
      <c r="I537"/>
      <c r="J537"/>
      <c r="K537"/>
      <c r="L537"/>
      <c r="M537"/>
      <c r="N537"/>
      <c r="O537"/>
      <c r="P537"/>
      <c r="Q537"/>
      <c r="R537"/>
      <c r="S537"/>
    </row>
    <row r="538" spans="1:19" x14ac:dyDescent="0.25">
      <c r="A538"/>
      <c r="B538"/>
      <c r="C538"/>
      <c r="D538"/>
      <c r="E538"/>
      <c r="F538"/>
      <c r="G538"/>
      <c r="H538"/>
      <c r="I538"/>
      <c r="J538"/>
      <c r="K538"/>
      <c r="L538"/>
      <c r="M538"/>
      <c r="N538"/>
      <c r="O538"/>
      <c r="P538"/>
      <c r="Q538"/>
      <c r="R538"/>
      <c r="S538"/>
    </row>
    <row r="539" spans="1:19" x14ac:dyDescent="0.25">
      <c r="A539"/>
      <c r="B539"/>
      <c r="C539"/>
      <c r="D539"/>
      <c r="E539"/>
      <c r="F539"/>
      <c r="G539"/>
      <c r="H539"/>
      <c r="I539"/>
      <c r="J539"/>
      <c r="K539"/>
      <c r="L539"/>
      <c r="M539"/>
      <c r="N539"/>
      <c r="O539"/>
      <c r="P539"/>
      <c r="Q539"/>
      <c r="R539"/>
      <c r="S539"/>
    </row>
    <row r="540" spans="1:19" x14ac:dyDescent="0.25">
      <c r="A540"/>
      <c r="B540"/>
      <c r="C540"/>
      <c r="D540"/>
      <c r="E540"/>
      <c r="F540"/>
      <c r="G540"/>
      <c r="H540"/>
      <c r="I540"/>
      <c r="J540"/>
      <c r="K540"/>
      <c r="L540"/>
      <c r="M540"/>
      <c r="N540"/>
      <c r="O540"/>
      <c r="P540"/>
      <c r="Q540"/>
      <c r="R540"/>
      <c r="S540"/>
    </row>
    <row r="541" spans="1:19" x14ac:dyDescent="0.25">
      <c r="A541"/>
      <c r="B541"/>
      <c r="C541"/>
      <c r="D541"/>
      <c r="E541"/>
      <c r="F541"/>
      <c r="G541"/>
      <c r="H541"/>
      <c r="I541"/>
      <c r="J541"/>
      <c r="K541"/>
      <c r="L541"/>
      <c r="M541"/>
      <c r="N541"/>
      <c r="O541"/>
      <c r="P541"/>
      <c r="Q541"/>
      <c r="R541"/>
      <c r="S541"/>
    </row>
    <row r="542" spans="1:19" x14ac:dyDescent="0.25">
      <c r="A542"/>
      <c r="B542"/>
      <c r="C542"/>
      <c r="D542"/>
      <c r="E542"/>
      <c r="F542"/>
      <c r="G542"/>
      <c r="H542"/>
      <c r="I542"/>
      <c r="J542"/>
      <c r="K542"/>
      <c r="L542"/>
      <c r="M542"/>
      <c r="N542"/>
      <c r="O542"/>
      <c r="P542"/>
      <c r="Q542"/>
      <c r="R542"/>
      <c r="S542"/>
    </row>
    <row r="543" spans="1:19" x14ac:dyDescent="0.25">
      <c r="A543"/>
      <c r="B543"/>
      <c r="C543"/>
      <c r="D543"/>
      <c r="E543"/>
      <c r="F543"/>
      <c r="G543"/>
      <c r="H543"/>
      <c r="I543"/>
      <c r="J543"/>
      <c r="K543"/>
      <c r="L543"/>
      <c r="M543"/>
      <c r="N543"/>
      <c r="O543"/>
      <c r="P543"/>
      <c r="Q543"/>
      <c r="R543"/>
      <c r="S543"/>
    </row>
    <row r="544" spans="1:19" x14ac:dyDescent="0.25">
      <c r="A544"/>
      <c r="B544"/>
      <c r="C544"/>
      <c r="D544"/>
      <c r="E544"/>
      <c r="F544"/>
      <c r="G544"/>
      <c r="H544"/>
      <c r="I544"/>
      <c r="J544"/>
      <c r="K544"/>
      <c r="L544"/>
      <c r="M544"/>
      <c r="N544"/>
      <c r="O544"/>
      <c r="P544"/>
      <c r="Q544"/>
      <c r="R544"/>
      <c r="S544"/>
    </row>
    <row r="545" spans="1:19" x14ac:dyDescent="0.25">
      <c r="A545"/>
      <c r="B545"/>
      <c r="C545"/>
      <c r="D545"/>
      <c r="E545"/>
      <c r="F545"/>
      <c r="G545"/>
      <c r="H545"/>
      <c r="I545"/>
      <c r="J545"/>
      <c r="K545"/>
      <c r="L545"/>
      <c r="M545"/>
      <c r="N545"/>
      <c r="O545"/>
      <c r="P545"/>
      <c r="Q545"/>
      <c r="R545"/>
      <c r="S545"/>
    </row>
    <row r="546" spans="1:19" x14ac:dyDescent="0.25">
      <c r="A546"/>
      <c r="B546"/>
      <c r="C546"/>
      <c r="D546"/>
      <c r="E546"/>
      <c r="F546"/>
      <c r="G546"/>
      <c r="H546"/>
      <c r="I546"/>
      <c r="J546"/>
      <c r="K546"/>
      <c r="L546"/>
      <c r="M546"/>
      <c r="N546"/>
      <c r="O546"/>
      <c r="P546"/>
      <c r="Q546"/>
      <c r="R546"/>
      <c r="S546"/>
    </row>
    <row r="547" spans="1:19" x14ac:dyDescent="0.25">
      <c r="A547"/>
      <c r="B547"/>
      <c r="C547"/>
      <c r="D547"/>
      <c r="E547"/>
      <c r="F547"/>
      <c r="G547"/>
      <c r="H547"/>
      <c r="I547"/>
      <c r="J547"/>
      <c r="K547"/>
      <c r="L547"/>
      <c r="M547"/>
      <c r="N547"/>
      <c r="O547"/>
      <c r="P547"/>
      <c r="Q547"/>
      <c r="R547"/>
      <c r="S547"/>
    </row>
    <row r="548" spans="1:19" x14ac:dyDescent="0.25">
      <c r="A548"/>
      <c r="B548"/>
      <c r="C548"/>
      <c r="D548"/>
      <c r="E548"/>
      <c r="F548"/>
      <c r="G548"/>
      <c r="H548"/>
      <c r="I548"/>
      <c r="J548"/>
      <c r="K548"/>
      <c r="L548"/>
      <c r="M548"/>
      <c r="N548"/>
      <c r="O548"/>
      <c r="P548"/>
      <c r="Q548"/>
      <c r="R548"/>
      <c r="S548"/>
    </row>
    <row r="549" spans="1:19" x14ac:dyDescent="0.25">
      <c r="A549"/>
      <c r="B549"/>
      <c r="C549"/>
      <c r="D549"/>
      <c r="E549"/>
      <c r="F549"/>
      <c r="G549"/>
      <c r="H549"/>
      <c r="I549"/>
      <c r="J549"/>
      <c r="K549"/>
      <c r="L549"/>
      <c r="M549"/>
      <c r="N549"/>
      <c r="O549"/>
      <c r="P549"/>
      <c r="Q549"/>
      <c r="R549"/>
      <c r="S549"/>
    </row>
    <row r="550" spans="1:19" x14ac:dyDescent="0.25">
      <c r="A550"/>
      <c r="B550"/>
      <c r="C550"/>
      <c r="D550"/>
      <c r="E550"/>
      <c r="F550"/>
      <c r="G550"/>
      <c r="H550"/>
      <c r="I550"/>
      <c r="J550"/>
      <c r="K550"/>
      <c r="L550"/>
      <c r="M550"/>
      <c r="N550"/>
      <c r="O550"/>
      <c r="P550"/>
      <c r="Q550"/>
      <c r="R550"/>
      <c r="S550"/>
    </row>
    <row r="551" spans="1:19" x14ac:dyDescent="0.25">
      <c r="A551"/>
      <c r="B551"/>
      <c r="C551"/>
      <c r="D551"/>
      <c r="E551"/>
      <c r="F551"/>
      <c r="G551"/>
      <c r="H551"/>
      <c r="I551"/>
      <c r="J551"/>
      <c r="K551"/>
      <c r="L551"/>
      <c r="M551"/>
      <c r="N551"/>
      <c r="O551"/>
      <c r="P551"/>
      <c r="Q551"/>
      <c r="R551"/>
      <c r="S551"/>
    </row>
    <row r="552" spans="1:19" x14ac:dyDescent="0.25">
      <c r="A552"/>
      <c r="B552"/>
      <c r="C552"/>
      <c r="D552"/>
      <c r="E552"/>
      <c r="F552"/>
      <c r="G552"/>
      <c r="H552"/>
      <c r="I552"/>
      <c r="J552"/>
      <c r="K552"/>
      <c r="L552"/>
      <c r="M552"/>
      <c r="N552"/>
      <c r="O552"/>
      <c r="P552"/>
      <c r="Q552"/>
      <c r="R552"/>
      <c r="S552"/>
    </row>
    <row r="553" spans="1:19" x14ac:dyDescent="0.25">
      <c r="A553"/>
      <c r="B553"/>
      <c r="C553"/>
      <c r="D553"/>
      <c r="E553"/>
      <c r="F553"/>
      <c r="G553"/>
      <c r="H553"/>
      <c r="I553"/>
      <c r="J553"/>
      <c r="K553"/>
      <c r="L553"/>
      <c r="M553"/>
      <c r="N553"/>
      <c r="O553"/>
      <c r="P553"/>
      <c r="Q553"/>
      <c r="R553"/>
      <c r="S553"/>
    </row>
    <row r="554" spans="1:19" x14ac:dyDescent="0.25">
      <c r="A554"/>
      <c r="B554"/>
      <c r="C554"/>
      <c r="D554"/>
      <c r="E554"/>
      <c r="F554"/>
      <c r="G554"/>
      <c r="H554"/>
      <c r="I554"/>
      <c r="J554"/>
      <c r="K554"/>
      <c r="L554"/>
      <c r="M554"/>
      <c r="N554"/>
      <c r="O554"/>
      <c r="P554"/>
      <c r="Q554"/>
      <c r="R554"/>
      <c r="S554"/>
    </row>
    <row r="555" spans="1:19" x14ac:dyDescent="0.25">
      <c r="A555"/>
      <c r="B555"/>
      <c r="C555"/>
      <c r="D555"/>
      <c r="E555"/>
      <c r="F555"/>
      <c r="G555"/>
      <c r="H555"/>
      <c r="I555"/>
      <c r="J555"/>
      <c r="K555"/>
      <c r="L555"/>
      <c r="M555"/>
      <c r="N555"/>
      <c r="O555"/>
      <c r="P555"/>
      <c r="Q555"/>
      <c r="R555"/>
      <c r="S555"/>
    </row>
    <row r="556" spans="1:19" x14ac:dyDescent="0.25">
      <c r="A556"/>
      <c r="B556"/>
      <c r="C556"/>
      <c r="D556"/>
      <c r="E556"/>
      <c r="F556"/>
      <c r="G556"/>
      <c r="H556"/>
      <c r="I556"/>
      <c r="J556"/>
      <c r="K556"/>
      <c r="L556"/>
      <c r="M556"/>
      <c r="N556"/>
      <c r="O556"/>
      <c r="P556"/>
      <c r="Q556"/>
      <c r="R556"/>
      <c r="S556"/>
    </row>
    <row r="557" spans="1:19" x14ac:dyDescent="0.25">
      <c r="A557"/>
      <c r="B557"/>
      <c r="C557"/>
      <c r="D557"/>
      <c r="E557"/>
      <c r="F557"/>
      <c r="G557"/>
      <c r="H557"/>
      <c r="I557"/>
      <c r="J557"/>
      <c r="K557"/>
      <c r="L557"/>
      <c r="M557"/>
      <c r="N557"/>
      <c r="O557"/>
      <c r="P557"/>
      <c r="Q557"/>
      <c r="R557"/>
      <c r="S557"/>
    </row>
    <row r="558" spans="1:19" x14ac:dyDescent="0.25">
      <c r="A558"/>
      <c r="B558"/>
      <c r="C558"/>
      <c r="D558"/>
      <c r="E558"/>
      <c r="F558"/>
      <c r="G558"/>
      <c r="H558"/>
      <c r="I558"/>
      <c r="J558"/>
      <c r="K558"/>
      <c r="L558"/>
      <c r="M558"/>
      <c r="N558"/>
      <c r="O558"/>
      <c r="P558"/>
      <c r="Q558"/>
      <c r="R558"/>
      <c r="S558"/>
    </row>
    <row r="559" spans="1:19" x14ac:dyDescent="0.25">
      <c r="A559"/>
      <c r="B559"/>
      <c r="C559"/>
      <c r="D559"/>
      <c r="E559"/>
      <c r="F559"/>
      <c r="G559"/>
      <c r="H559"/>
      <c r="I559"/>
      <c r="J559"/>
      <c r="K559"/>
      <c r="L559"/>
      <c r="M559"/>
      <c r="N559"/>
      <c r="O559"/>
      <c r="P559"/>
      <c r="Q559"/>
      <c r="R559"/>
      <c r="S559"/>
    </row>
    <row r="560" spans="1:19" x14ac:dyDescent="0.25">
      <c r="A560"/>
      <c r="B560"/>
      <c r="C560"/>
      <c r="D560"/>
      <c r="E560"/>
      <c r="F560"/>
      <c r="G560"/>
      <c r="H560"/>
      <c r="I560"/>
      <c r="J560"/>
      <c r="K560"/>
      <c r="L560"/>
      <c r="M560"/>
      <c r="N560"/>
      <c r="O560"/>
      <c r="P560"/>
      <c r="Q560"/>
      <c r="R560"/>
      <c r="S560"/>
    </row>
    <row r="561" spans="1:19" x14ac:dyDescent="0.25">
      <c r="A561"/>
      <c r="B561"/>
      <c r="C561"/>
      <c r="D561"/>
      <c r="E561"/>
      <c r="F561"/>
      <c r="G561"/>
      <c r="H561"/>
      <c r="I561"/>
      <c r="J561"/>
      <c r="K561"/>
      <c r="L561"/>
      <c r="M561"/>
      <c r="N561"/>
      <c r="O561"/>
      <c r="P561"/>
      <c r="Q561"/>
      <c r="R561"/>
      <c r="S561"/>
    </row>
    <row r="562" spans="1:19" x14ac:dyDescent="0.25">
      <c r="A562"/>
      <c r="B562"/>
      <c r="C562"/>
      <c r="D562"/>
      <c r="E562"/>
      <c r="F562"/>
      <c r="G562"/>
      <c r="H562"/>
      <c r="I562"/>
      <c r="J562"/>
      <c r="K562"/>
      <c r="L562"/>
      <c r="M562"/>
      <c r="N562"/>
      <c r="O562"/>
      <c r="P562"/>
      <c r="Q562"/>
      <c r="R562"/>
      <c r="S562"/>
    </row>
    <row r="563" spans="1:19" x14ac:dyDescent="0.25">
      <c r="A563"/>
      <c r="B563"/>
      <c r="C563"/>
      <c r="D563"/>
      <c r="E563"/>
      <c r="F563"/>
      <c r="G563"/>
      <c r="H563"/>
      <c r="I563"/>
      <c r="J563"/>
      <c r="K563"/>
      <c r="L563"/>
      <c r="M563"/>
      <c r="N563"/>
      <c r="O563"/>
      <c r="P563"/>
      <c r="Q563"/>
      <c r="R563"/>
      <c r="S563"/>
    </row>
    <row r="564" spans="1:19" x14ac:dyDescent="0.25">
      <c r="A564"/>
      <c r="B564"/>
      <c r="C564"/>
      <c r="D564"/>
      <c r="E564"/>
      <c r="F564"/>
      <c r="G564"/>
      <c r="H564"/>
      <c r="I564"/>
      <c r="J564"/>
      <c r="K564"/>
      <c r="L564"/>
      <c r="M564"/>
      <c r="N564"/>
      <c r="O564"/>
      <c r="P564"/>
      <c r="Q564"/>
      <c r="R564"/>
      <c r="S564"/>
    </row>
    <row r="565" spans="1:19" x14ac:dyDescent="0.25">
      <c r="A565"/>
      <c r="B565"/>
      <c r="C565"/>
      <c r="D565"/>
      <c r="E565"/>
      <c r="F565"/>
      <c r="G565"/>
      <c r="H565"/>
      <c r="I565"/>
      <c r="J565"/>
      <c r="K565"/>
      <c r="L565"/>
      <c r="M565"/>
      <c r="N565"/>
      <c r="O565"/>
      <c r="P565"/>
      <c r="Q565"/>
      <c r="R565"/>
      <c r="S565"/>
    </row>
    <row r="566" spans="1:19" x14ac:dyDescent="0.25">
      <c r="A566"/>
      <c r="B566"/>
      <c r="C566"/>
      <c r="D566"/>
      <c r="E566"/>
      <c r="F566"/>
      <c r="G566"/>
      <c r="H566"/>
      <c r="I566"/>
      <c r="J566"/>
      <c r="K566"/>
      <c r="L566"/>
      <c r="M566"/>
      <c r="N566"/>
      <c r="O566"/>
      <c r="P566"/>
      <c r="Q566"/>
      <c r="R566"/>
      <c r="S566"/>
    </row>
    <row r="567" spans="1:19" x14ac:dyDescent="0.25">
      <c r="A567"/>
      <c r="B567"/>
      <c r="C567"/>
      <c r="D567"/>
      <c r="E567"/>
      <c r="F567"/>
      <c r="G567"/>
      <c r="H567"/>
      <c r="I567"/>
      <c r="J567"/>
      <c r="K567"/>
      <c r="L567"/>
      <c r="M567"/>
      <c r="N567"/>
      <c r="O567"/>
      <c r="P567"/>
      <c r="Q567"/>
      <c r="R567"/>
      <c r="S567"/>
    </row>
    <row r="568" spans="1:19" x14ac:dyDescent="0.25">
      <c r="A568"/>
      <c r="B568"/>
      <c r="C568"/>
      <c r="D568"/>
      <c r="E568"/>
      <c r="F568"/>
      <c r="G568"/>
      <c r="H568"/>
      <c r="I568"/>
      <c r="J568"/>
      <c r="K568"/>
      <c r="L568"/>
      <c r="M568"/>
      <c r="N568"/>
      <c r="O568"/>
      <c r="P568"/>
      <c r="Q568"/>
      <c r="R568"/>
      <c r="S568"/>
    </row>
    <row r="569" spans="1:19" x14ac:dyDescent="0.25">
      <c r="A569"/>
      <c r="B569"/>
      <c r="C569"/>
      <c r="D569"/>
      <c r="E569"/>
      <c r="F569"/>
      <c r="G569"/>
      <c r="H569"/>
      <c r="I569"/>
      <c r="J569"/>
      <c r="K569"/>
      <c r="L569"/>
      <c r="M569"/>
      <c r="N569"/>
      <c r="O569"/>
      <c r="P569"/>
      <c r="Q569"/>
      <c r="R569"/>
      <c r="S569"/>
    </row>
    <row r="570" spans="1:19" x14ac:dyDescent="0.25">
      <c r="A570"/>
      <c r="B570"/>
      <c r="C570"/>
      <c r="D570"/>
      <c r="E570"/>
      <c r="F570"/>
      <c r="G570"/>
      <c r="H570"/>
      <c r="I570"/>
      <c r="J570"/>
      <c r="K570"/>
      <c r="L570"/>
      <c r="M570"/>
      <c r="N570"/>
      <c r="O570"/>
      <c r="P570"/>
      <c r="Q570"/>
      <c r="R570"/>
      <c r="S570"/>
    </row>
    <row r="571" spans="1:19" x14ac:dyDescent="0.25">
      <c r="A571"/>
      <c r="B571"/>
      <c r="C571"/>
      <c r="D571"/>
      <c r="E571"/>
      <c r="F571"/>
      <c r="G571"/>
      <c r="H571"/>
      <c r="I571"/>
      <c r="J571"/>
      <c r="K571"/>
      <c r="L571"/>
      <c r="M571"/>
      <c r="N571"/>
      <c r="O571"/>
      <c r="P571"/>
      <c r="Q571"/>
      <c r="R571"/>
      <c r="S571"/>
    </row>
    <row r="572" spans="1:19" x14ac:dyDescent="0.25">
      <c r="A572"/>
      <c r="B572"/>
      <c r="C572"/>
      <c r="D572"/>
      <c r="E572"/>
      <c r="F572"/>
      <c r="G572"/>
      <c r="H572"/>
      <c r="I572"/>
      <c r="J572"/>
      <c r="K572"/>
      <c r="L572"/>
      <c r="M572"/>
      <c r="N572"/>
      <c r="O572"/>
      <c r="P572"/>
      <c r="Q572"/>
      <c r="R572"/>
      <c r="S572"/>
    </row>
    <row r="573" spans="1:19" x14ac:dyDescent="0.25">
      <c r="A573"/>
      <c r="B573"/>
      <c r="C573"/>
      <c r="D573"/>
      <c r="E573"/>
      <c r="F573"/>
      <c r="G573"/>
      <c r="H573"/>
      <c r="I573"/>
      <c r="J573"/>
      <c r="K573"/>
      <c r="L573"/>
      <c r="M573"/>
      <c r="N573"/>
      <c r="O573"/>
      <c r="P573"/>
      <c r="Q573"/>
      <c r="R573"/>
      <c r="S573"/>
    </row>
    <row r="574" spans="1:19" x14ac:dyDescent="0.25">
      <c r="A574"/>
      <c r="B574"/>
      <c r="C574"/>
      <c r="D574"/>
      <c r="E574"/>
      <c r="F574"/>
      <c r="G574"/>
      <c r="H574"/>
      <c r="I574"/>
      <c r="J574"/>
      <c r="K574"/>
      <c r="L574"/>
      <c r="M574"/>
      <c r="N574"/>
      <c r="O574"/>
      <c r="P574"/>
      <c r="Q574"/>
      <c r="R574"/>
      <c r="S574"/>
    </row>
    <row r="575" spans="1:19" x14ac:dyDescent="0.25">
      <c r="A575"/>
      <c r="B575"/>
      <c r="C575"/>
      <c r="D575"/>
      <c r="E575"/>
      <c r="F575"/>
      <c r="G575"/>
      <c r="H575"/>
      <c r="I575"/>
      <c r="J575"/>
      <c r="K575"/>
      <c r="L575"/>
      <c r="M575"/>
      <c r="N575"/>
      <c r="O575"/>
      <c r="P575"/>
      <c r="Q575"/>
      <c r="R575"/>
      <c r="S575"/>
    </row>
    <row r="576" spans="1:19" x14ac:dyDescent="0.25">
      <c r="A576"/>
      <c r="B576"/>
      <c r="C576"/>
      <c r="D576"/>
      <c r="E576"/>
      <c r="F576"/>
      <c r="G576"/>
      <c r="H576"/>
      <c r="I576"/>
      <c r="J576"/>
      <c r="K576"/>
      <c r="L576"/>
      <c r="M576"/>
      <c r="N576"/>
      <c r="O576"/>
      <c r="P576"/>
      <c r="Q576"/>
      <c r="R576"/>
      <c r="S576"/>
    </row>
    <row r="577" spans="1:19" x14ac:dyDescent="0.25">
      <c r="A577"/>
      <c r="B577"/>
      <c r="C577"/>
      <c r="D577"/>
      <c r="E577"/>
      <c r="F577"/>
      <c r="G577"/>
      <c r="H577"/>
      <c r="I577"/>
      <c r="J577"/>
      <c r="K577"/>
      <c r="L577"/>
      <c r="M577"/>
      <c r="N577"/>
      <c r="O577"/>
      <c r="P577"/>
      <c r="Q577"/>
      <c r="R577"/>
      <c r="S577"/>
    </row>
    <row r="578" spans="1:19" x14ac:dyDescent="0.25">
      <c r="A578"/>
      <c r="B578"/>
      <c r="C578"/>
      <c r="D578"/>
      <c r="E578"/>
      <c r="F578"/>
      <c r="G578"/>
      <c r="H578"/>
      <c r="I578"/>
      <c r="J578"/>
      <c r="K578"/>
      <c r="L578"/>
      <c r="M578"/>
      <c r="N578"/>
      <c r="O578"/>
      <c r="P578"/>
      <c r="Q578"/>
      <c r="R578"/>
      <c r="S578"/>
    </row>
    <row r="579" spans="1:19" x14ac:dyDescent="0.25">
      <c r="A579"/>
      <c r="B579"/>
      <c r="C579"/>
      <c r="D579"/>
      <c r="E579"/>
      <c r="F579"/>
      <c r="G579"/>
      <c r="H579"/>
      <c r="I579"/>
      <c r="J579"/>
      <c r="K579"/>
      <c r="L579"/>
      <c r="M579"/>
      <c r="N579"/>
      <c r="O579"/>
      <c r="P579"/>
      <c r="Q579"/>
      <c r="R579"/>
      <c r="S579"/>
    </row>
    <row r="580" spans="1:19" x14ac:dyDescent="0.25">
      <c r="A580"/>
      <c r="B580"/>
      <c r="C580"/>
      <c r="D580"/>
      <c r="E580"/>
      <c r="F580"/>
      <c r="G580"/>
      <c r="H580"/>
      <c r="I580"/>
      <c r="J580"/>
      <c r="K580"/>
      <c r="L580"/>
      <c r="M580"/>
      <c r="N580"/>
      <c r="O580"/>
      <c r="P580"/>
      <c r="Q580"/>
      <c r="R580"/>
      <c r="S580"/>
    </row>
    <row r="581" spans="1:19" x14ac:dyDescent="0.25">
      <c r="A581"/>
      <c r="B581"/>
      <c r="C581"/>
      <c r="D581"/>
      <c r="E581"/>
      <c r="F581"/>
      <c r="G581"/>
      <c r="H581"/>
      <c r="I581"/>
      <c r="J581"/>
      <c r="K581"/>
      <c r="L581"/>
      <c r="M581"/>
      <c r="N581"/>
      <c r="O581"/>
      <c r="P581"/>
      <c r="Q581"/>
      <c r="R581"/>
      <c r="S581"/>
    </row>
    <row r="582" spans="1:19" x14ac:dyDescent="0.25">
      <c r="A582"/>
      <c r="B582"/>
      <c r="C582"/>
      <c r="D582"/>
      <c r="E582"/>
      <c r="F582"/>
      <c r="G582"/>
      <c r="H582"/>
      <c r="I582"/>
      <c r="J582"/>
      <c r="K582"/>
      <c r="L582"/>
      <c r="M582"/>
      <c r="N582"/>
      <c r="O582"/>
      <c r="P582"/>
      <c r="Q582"/>
      <c r="R582"/>
      <c r="S582"/>
    </row>
    <row r="583" spans="1:19" x14ac:dyDescent="0.25">
      <c r="A583"/>
      <c r="B583"/>
      <c r="C583"/>
      <c r="D583"/>
      <c r="E583"/>
      <c r="F583"/>
      <c r="G583"/>
      <c r="H583"/>
      <c r="I583"/>
      <c r="J583"/>
      <c r="K583"/>
      <c r="L583"/>
      <c r="M583"/>
      <c r="N583"/>
      <c r="O583"/>
      <c r="P583"/>
      <c r="Q583"/>
      <c r="R583"/>
      <c r="S583"/>
    </row>
    <row r="584" spans="1:19" x14ac:dyDescent="0.25">
      <c r="A584"/>
      <c r="B584"/>
      <c r="C584"/>
      <c r="D584"/>
      <c r="E584"/>
      <c r="F584"/>
      <c r="G584"/>
      <c r="H584"/>
      <c r="I584"/>
      <c r="J584"/>
      <c r="K584"/>
      <c r="L584"/>
      <c r="M584"/>
      <c r="N584"/>
      <c r="O584"/>
      <c r="P584"/>
      <c r="Q584"/>
      <c r="R584"/>
      <c r="S584"/>
    </row>
    <row r="585" spans="1:19" x14ac:dyDescent="0.25">
      <c r="A585"/>
      <c r="B585"/>
      <c r="C585"/>
      <c r="D585"/>
      <c r="E585"/>
      <c r="F585"/>
      <c r="G585"/>
      <c r="H585"/>
      <c r="I585"/>
      <c r="J585"/>
      <c r="K585"/>
      <c r="L585"/>
      <c r="M585"/>
      <c r="N585"/>
      <c r="O585"/>
      <c r="P585"/>
      <c r="Q585"/>
      <c r="R585"/>
      <c r="S585"/>
    </row>
    <row r="586" spans="1:19" x14ac:dyDescent="0.25">
      <c r="A586"/>
      <c r="B586"/>
      <c r="C586"/>
      <c r="D586"/>
      <c r="E586"/>
      <c r="F586"/>
      <c r="G586"/>
      <c r="H586"/>
      <c r="I586"/>
      <c r="J586"/>
      <c r="K586"/>
      <c r="L586"/>
      <c r="M586"/>
      <c r="N586"/>
      <c r="O586"/>
      <c r="P586"/>
      <c r="Q586"/>
      <c r="R586"/>
      <c r="S586"/>
    </row>
    <row r="587" spans="1:19" x14ac:dyDescent="0.25">
      <c r="A587"/>
      <c r="B587"/>
      <c r="C587"/>
      <c r="D587"/>
      <c r="E587"/>
      <c r="F587"/>
      <c r="G587"/>
      <c r="H587"/>
      <c r="I587"/>
      <c r="J587"/>
      <c r="K587"/>
      <c r="L587"/>
      <c r="M587"/>
      <c r="N587"/>
      <c r="O587"/>
      <c r="P587"/>
      <c r="Q587"/>
      <c r="R587"/>
      <c r="S587"/>
    </row>
    <row r="588" spans="1:19" x14ac:dyDescent="0.25">
      <c r="A588"/>
      <c r="B588"/>
      <c r="C588"/>
      <c r="D588"/>
      <c r="E588"/>
      <c r="F588"/>
      <c r="G588"/>
      <c r="H588"/>
      <c r="I588"/>
      <c r="J588"/>
      <c r="K588"/>
      <c r="L588"/>
      <c r="M588"/>
      <c r="N588"/>
      <c r="O588"/>
      <c r="P588"/>
      <c r="Q588"/>
      <c r="R588"/>
      <c r="S588"/>
    </row>
    <row r="589" spans="1:19" x14ac:dyDescent="0.25">
      <c r="A589"/>
      <c r="B589"/>
      <c r="C589"/>
      <c r="D589"/>
      <c r="E589"/>
      <c r="F589"/>
      <c r="G589"/>
      <c r="H589"/>
      <c r="I589"/>
      <c r="J589"/>
      <c r="K589"/>
      <c r="L589"/>
      <c r="M589"/>
      <c r="N589"/>
      <c r="O589"/>
      <c r="P589"/>
      <c r="Q589"/>
      <c r="R589"/>
      <c r="S589"/>
    </row>
    <row r="590" spans="1:19" x14ac:dyDescent="0.25">
      <c r="A590"/>
      <c r="B590"/>
      <c r="C590"/>
      <c r="D590"/>
      <c r="E590"/>
      <c r="F590"/>
      <c r="G590"/>
      <c r="H590"/>
      <c r="I590"/>
      <c r="J590"/>
      <c r="K590"/>
      <c r="L590"/>
      <c r="M590"/>
      <c r="N590"/>
      <c r="O590"/>
      <c r="P590"/>
      <c r="Q590"/>
      <c r="R590"/>
      <c r="S590"/>
    </row>
    <row r="591" spans="1:19" x14ac:dyDescent="0.25">
      <c r="A591"/>
      <c r="B591"/>
      <c r="C591"/>
      <c r="D591"/>
      <c r="E591"/>
      <c r="F591"/>
      <c r="G591"/>
      <c r="H591"/>
      <c r="I591"/>
      <c r="J591"/>
      <c r="K591"/>
      <c r="L591"/>
      <c r="M591"/>
      <c r="N591"/>
      <c r="O591"/>
      <c r="P591"/>
      <c r="Q591"/>
      <c r="R591"/>
      <c r="S591"/>
    </row>
    <row r="592" spans="1:19" x14ac:dyDescent="0.25">
      <c r="A592"/>
      <c r="B592"/>
      <c r="C592"/>
      <c r="D592"/>
      <c r="E592"/>
      <c r="F592"/>
      <c r="G592"/>
      <c r="H592"/>
      <c r="I592"/>
      <c r="J592"/>
      <c r="K592"/>
      <c r="L592"/>
      <c r="M592"/>
      <c r="N592"/>
      <c r="O592"/>
      <c r="P592"/>
      <c r="Q592"/>
      <c r="R592"/>
      <c r="S592"/>
    </row>
    <row r="593" spans="1:19" x14ac:dyDescent="0.25">
      <c r="A593"/>
      <c r="B593"/>
      <c r="C593"/>
      <c r="D593"/>
      <c r="E593"/>
      <c r="F593"/>
      <c r="G593"/>
      <c r="H593"/>
      <c r="I593"/>
      <c r="J593"/>
      <c r="K593"/>
      <c r="L593"/>
      <c r="M593"/>
      <c r="N593"/>
      <c r="O593"/>
      <c r="P593"/>
      <c r="Q593"/>
      <c r="R593"/>
      <c r="S593"/>
    </row>
    <row r="594" spans="1:19" x14ac:dyDescent="0.25">
      <c r="A594"/>
      <c r="B594"/>
      <c r="C594"/>
      <c r="D594"/>
      <c r="E594"/>
      <c r="F594"/>
      <c r="G594"/>
      <c r="H594"/>
      <c r="I594"/>
      <c r="J594"/>
      <c r="K594"/>
      <c r="L594"/>
      <c r="M594"/>
      <c r="N594"/>
      <c r="O594"/>
      <c r="P594"/>
      <c r="Q594"/>
      <c r="R594"/>
      <c r="S594"/>
    </row>
    <row r="595" spans="1:19" x14ac:dyDescent="0.25">
      <c r="A595"/>
      <c r="B595"/>
      <c r="C595"/>
      <c r="D595"/>
      <c r="E595"/>
      <c r="F595"/>
      <c r="G595"/>
      <c r="H595"/>
      <c r="I595"/>
      <c r="J595"/>
      <c r="K595"/>
      <c r="L595"/>
      <c r="M595"/>
      <c r="N595"/>
      <c r="O595"/>
      <c r="P595"/>
      <c r="Q595"/>
      <c r="R595"/>
      <c r="S595"/>
    </row>
    <row r="596" spans="1:19" x14ac:dyDescent="0.25">
      <c r="A596"/>
      <c r="B596"/>
      <c r="C596"/>
      <c r="D596"/>
      <c r="E596"/>
      <c r="F596"/>
      <c r="G596"/>
      <c r="H596"/>
      <c r="I596"/>
      <c r="J596"/>
      <c r="K596"/>
      <c r="L596"/>
      <c r="M596"/>
      <c r="N596"/>
      <c r="O596"/>
      <c r="P596"/>
      <c r="Q596"/>
      <c r="R596"/>
      <c r="S596"/>
    </row>
    <row r="597" spans="1:19" x14ac:dyDescent="0.25">
      <c r="A597"/>
      <c r="B597"/>
      <c r="C597"/>
      <c r="D597"/>
      <c r="E597"/>
      <c r="F597"/>
      <c r="G597"/>
      <c r="H597"/>
      <c r="I597"/>
      <c r="J597"/>
      <c r="K597"/>
      <c r="L597"/>
      <c r="M597"/>
      <c r="N597"/>
      <c r="O597"/>
      <c r="P597"/>
      <c r="Q597"/>
      <c r="R597"/>
      <c r="S597"/>
    </row>
    <row r="598" spans="1:19" x14ac:dyDescent="0.25">
      <c r="A598"/>
      <c r="B598"/>
      <c r="C598"/>
      <c r="D598"/>
      <c r="E598"/>
      <c r="F598"/>
      <c r="G598"/>
      <c r="H598"/>
      <c r="I598"/>
      <c r="J598"/>
      <c r="K598"/>
      <c r="L598"/>
      <c r="M598"/>
      <c r="N598"/>
      <c r="O598"/>
      <c r="P598"/>
      <c r="Q598"/>
      <c r="R598"/>
      <c r="S598"/>
    </row>
    <row r="599" spans="1:19" x14ac:dyDescent="0.25">
      <c r="A599"/>
      <c r="B599"/>
      <c r="C599"/>
      <c r="D599"/>
      <c r="E599"/>
      <c r="F599"/>
      <c r="G599"/>
      <c r="H599"/>
      <c r="I599"/>
      <c r="J599"/>
      <c r="K599"/>
      <c r="L599"/>
      <c r="M599"/>
      <c r="N599"/>
      <c r="O599"/>
      <c r="P599"/>
      <c r="Q599"/>
      <c r="R599"/>
      <c r="S599"/>
    </row>
    <row r="600" spans="1:19" x14ac:dyDescent="0.25">
      <c r="A600"/>
      <c r="B600"/>
      <c r="C600"/>
      <c r="D600"/>
      <c r="E600"/>
      <c r="F600"/>
      <c r="G600"/>
      <c r="H600"/>
      <c r="I600"/>
      <c r="J600"/>
      <c r="K600"/>
      <c r="L600"/>
      <c r="M600"/>
      <c r="N600"/>
      <c r="O600"/>
      <c r="P600"/>
      <c r="Q600"/>
      <c r="R600"/>
      <c r="S600"/>
    </row>
    <row r="601" spans="1:19" x14ac:dyDescent="0.25">
      <c r="A601"/>
      <c r="B601"/>
      <c r="C601"/>
      <c r="D601"/>
      <c r="E601"/>
      <c r="F601"/>
      <c r="G601"/>
      <c r="H601"/>
      <c r="I601"/>
      <c r="J601"/>
      <c r="K601"/>
      <c r="L601"/>
      <c r="M601"/>
      <c r="N601"/>
      <c r="O601"/>
      <c r="P601"/>
      <c r="Q601"/>
      <c r="R601"/>
      <c r="S601"/>
    </row>
    <row r="602" spans="1:19" x14ac:dyDescent="0.25">
      <c r="A602"/>
      <c r="B602"/>
      <c r="C602"/>
      <c r="D602"/>
      <c r="E602"/>
      <c r="F602"/>
      <c r="G602"/>
      <c r="H602"/>
      <c r="I602"/>
      <c r="J602"/>
      <c r="K602"/>
      <c r="L602"/>
      <c r="M602"/>
      <c r="N602"/>
      <c r="O602"/>
      <c r="P602"/>
      <c r="Q602"/>
      <c r="R602"/>
      <c r="S602"/>
    </row>
    <row r="603" spans="1:19" x14ac:dyDescent="0.25">
      <c r="A603"/>
      <c r="B603"/>
      <c r="C603"/>
      <c r="D603"/>
      <c r="E603"/>
      <c r="F603"/>
      <c r="G603"/>
      <c r="H603"/>
      <c r="I603"/>
      <c r="J603"/>
      <c r="K603"/>
      <c r="L603"/>
      <c r="M603"/>
      <c r="N603"/>
      <c r="O603"/>
      <c r="P603"/>
      <c r="Q603"/>
      <c r="R603"/>
      <c r="S603"/>
    </row>
    <row r="604" spans="1:19" x14ac:dyDescent="0.25">
      <c r="A604"/>
      <c r="B604"/>
      <c r="C604"/>
      <c r="D604"/>
      <c r="E604"/>
      <c r="F604"/>
      <c r="G604"/>
      <c r="H604"/>
      <c r="I604"/>
      <c r="J604"/>
      <c r="K604"/>
      <c r="L604"/>
      <c r="M604"/>
      <c r="N604"/>
      <c r="O604"/>
      <c r="P604"/>
      <c r="Q604"/>
      <c r="R604"/>
      <c r="S604"/>
    </row>
    <row r="605" spans="1:19" x14ac:dyDescent="0.25">
      <c r="A605"/>
      <c r="B605"/>
      <c r="C605"/>
      <c r="D605"/>
      <c r="E605"/>
      <c r="F605"/>
      <c r="G605"/>
      <c r="H605"/>
      <c r="I605"/>
      <c r="J605"/>
      <c r="K605"/>
      <c r="L605"/>
      <c r="M605"/>
      <c r="N605"/>
      <c r="O605"/>
      <c r="P605"/>
      <c r="Q605"/>
      <c r="R605"/>
      <c r="S605"/>
    </row>
    <row r="606" spans="1:19" x14ac:dyDescent="0.25">
      <c r="A606"/>
      <c r="B606"/>
      <c r="C606"/>
      <c r="D606"/>
      <c r="E606"/>
      <c r="F606"/>
      <c r="G606"/>
      <c r="H606"/>
      <c r="I606"/>
      <c r="J606"/>
      <c r="K606"/>
      <c r="L606"/>
      <c r="M606"/>
      <c r="N606"/>
      <c r="O606"/>
      <c r="P606"/>
      <c r="Q606"/>
      <c r="R606"/>
      <c r="S606"/>
    </row>
    <row r="607" spans="1:19" x14ac:dyDescent="0.25">
      <c r="A607"/>
      <c r="B607"/>
      <c r="C607"/>
      <c r="D607"/>
      <c r="E607"/>
      <c r="F607"/>
      <c r="G607"/>
      <c r="H607"/>
      <c r="I607"/>
      <c r="J607"/>
      <c r="K607"/>
      <c r="L607"/>
      <c r="M607"/>
      <c r="N607"/>
      <c r="O607"/>
      <c r="P607"/>
      <c r="Q607"/>
      <c r="R607"/>
      <c r="S607"/>
    </row>
    <row r="608" spans="1:19" x14ac:dyDescent="0.25">
      <c r="A608"/>
      <c r="B608"/>
      <c r="C608"/>
      <c r="D608"/>
      <c r="E608"/>
      <c r="F608"/>
      <c r="G608"/>
      <c r="H608"/>
      <c r="I608"/>
      <c r="J608"/>
      <c r="K608"/>
      <c r="L608"/>
      <c r="M608"/>
      <c r="N608"/>
      <c r="O608"/>
      <c r="P608"/>
      <c r="Q608"/>
      <c r="R608"/>
      <c r="S608"/>
    </row>
    <row r="609" spans="1:19" x14ac:dyDescent="0.25">
      <c r="A609"/>
      <c r="B609"/>
      <c r="C609"/>
      <c r="D609"/>
      <c r="E609"/>
      <c r="F609"/>
      <c r="G609"/>
      <c r="H609"/>
      <c r="I609"/>
      <c r="J609"/>
      <c r="K609"/>
      <c r="L609"/>
      <c r="M609"/>
      <c r="N609"/>
      <c r="O609"/>
      <c r="P609"/>
      <c r="Q609"/>
      <c r="R609"/>
      <c r="S609"/>
    </row>
    <row r="610" spans="1:19" x14ac:dyDescent="0.25">
      <c r="A610"/>
      <c r="B610"/>
      <c r="C610"/>
      <c r="D610"/>
      <c r="E610"/>
      <c r="F610"/>
      <c r="G610"/>
      <c r="H610"/>
      <c r="I610"/>
      <c r="J610"/>
      <c r="K610"/>
      <c r="L610"/>
      <c r="M610"/>
      <c r="N610"/>
      <c r="O610"/>
      <c r="P610"/>
      <c r="Q610"/>
      <c r="R610"/>
      <c r="S610"/>
    </row>
    <row r="611" spans="1:19" x14ac:dyDescent="0.25">
      <c r="A611"/>
      <c r="B611"/>
      <c r="C611"/>
      <c r="D611"/>
      <c r="E611"/>
      <c r="F611"/>
      <c r="G611"/>
      <c r="H611"/>
      <c r="I611"/>
      <c r="J611"/>
      <c r="K611"/>
      <c r="L611"/>
      <c r="M611"/>
      <c r="N611"/>
      <c r="O611"/>
      <c r="P611"/>
      <c r="Q611"/>
      <c r="R611"/>
      <c r="S611"/>
    </row>
    <row r="612" spans="1:19" x14ac:dyDescent="0.25">
      <c r="A612"/>
      <c r="B612"/>
      <c r="C612"/>
      <c r="D612"/>
      <c r="E612"/>
      <c r="F612"/>
      <c r="G612"/>
      <c r="H612"/>
      <c r="I612"/>
      <c r="J612"/>
      <c r="K612"/>
      <c r="L612"/>
      <c r="M612"/>
      <c r="N612"/>
      <c r="O612"/>
      <c r="P612"/>
      <c r="Q612"/>
      <c r="R612"/>
      <c r="S612"/>
    </row>
    <row r="613" spans="1:19" x14ac:dyDescent="0.25">
      <c r="A613"/>
      <c r="B613"/>
      <c r="C613"/>
      <c r="D613"/>
      <c r="E613"/>
      <c r="F613"/>
      <c r="G613"/>
      <c r="H613"/>
      <c r="I613"/>
      <c r="J613"/>
      <c r="K613"/>
      <c r="L613"/>
      <c r="M613"/>
      <c r="N613"/>
      <c r="O613"/>
      <c r="P613"/>
      <c r="Q613"/>
      <c r="R613"/>
      <c r="S613"/>
    </row>
    <row r="614" spans="1:19" x14ac:dyDescent="0.25">
      <c r="A614"/>
      <c r="B614"/>
      <c r="C614"/>
      <c r="D614"/>
      <c r="E614"/>
      <c r="F614"/>
      <c r="G614"/>
      <c r="H614"/>
      <c r="I614"/>
      <c r="J614"/>
      <c r="K614"/>
      <c r="L614"/>
      <c r="M614"/>
      <c r="N614"/>
      <c r="O614"/>
      <c r="P614"/>
      <c r="Q614"/>
      <c r="R614"/>
      <c r="S614"/>
    </row>
    <row r="615" spans="1:19" x14ac:dyDescent="0.25">
      <c r="A615"/>
      <c r="B615"/>
      <c r="C615"/>
      <c r="D615"/>
      <c r="E615"/>
      <c r="F615"/>
      <c r="G615"/>
      <c r="H615"/>
      <c r="I615"/>
      <c r="J615"/>
      <c r="K615"/>
      <c r="L615"/>
      <c r="M615"/>
      <c r="N615"/>
      <c r="O615"/>
      <c r="P615"/>
      <c r="Q615"/>
      <c r="R615"/>
      <c r="S615"/>
    </row>
    <row r="616" spans="1:19" x14ac:dyDescent="0.25">
      <c r="A616"/>
      <c r="B616"/>
      <c r="C616"/>
      <c r="D616"/>
      <c r="E616"/>
      <c r="F616"/>
      <c r="G616"/>
      <c r="H616"/>
      <c r="I616"/>
      <c r="J616"/>
      <c r="K616"/>
      <c r="L616"/>
      <c r="M616"/>
      <c r="N616"/>
      <c r="O616"/>
      <c r="P616"/>
      <c r="Q616"/>
      <c r="R616"/>
      <c r="S616"/>
    </row>
    <row r="617" spans="1:19" x14ac:dyDescent="0.25">
      <c r="A617"/>
      <c r="B617"/>
      <c r="C617"/>
      <c r="D617"/>
      <c r="E617"/>
      <c r="F617"/>
      <c r="G617"/>
      <c r="H617"/>
      <c r="I617"/>
      <c r="J617"/>
      <c r="K617"/>
      <c r="L617"/>
      <c r="M617"/>
      <c r="N617"/>
      <c r="O617"/>
      <c r="P617"/>
      <c r="Q617"/>
      <c r="R617"/>
      <c r="S617"/>
    </row>
    <row r="618" spans="1:19" x14ac:dyDescent="0.25">
      <c r="A618"/>
      <c r="B618"/>
      <c r="C618"/>
      <c r="D618"/>
      <c r="E618"/>
      <c r="F618"/>
      <c r="G618"/>
      <c r="H618"/>
      <c r="I618"/>
      <c r="J618"/>
      <c r="K618"/>
      <c r="L618"/>
      <c r="M618"/>
      <c r="N618"/>
      <c r="O618"/>
      <c r="P618"/>
      <c r="Q618"/>
      <c r="R618"/>
      <c r="S618"/>
    </row>
    <row r="619" spans="1:19" x14ac:dyDescent="0.25">
      <c r="A619"/>
      <c r="B619"/>
      <c r="C619"/>
      <c r="D619"/>
      <c r="E619"/>
      <c r="F619"/>
      <c r="G619"/>
      <c r="H619"/>
      <c r="I619"/>
      <c r="J619"/>
      <c r="K619"/>
      <c r="L619"/>
      <c r="M619"/>
      <c r="N619"/>
      <c r="O619"/>
      <c r="P619"/>
      <c r="Q619"/>
      <c r="R619"/>
      <c r="S619"/>
    </row>
    <row r="620" spans="1:19" x14ac:dyDescent="0.25">
      <c r="A620"/>
      <c r="B620"/>
      <c r="C620"/>
      <c r="D620"/>
      <c r="E620"/>
      <c r="F620"/>
      <c r="G620"/>
      <c r="H620"/>
      <c r="I620"/>
      <c r="J620"/>
      <c r="K620"/>
      <c r="L620"/>
      <c r="M620"/>
      <c r="N620"/>
      <c r="O620"/>
      <c r="P620"/>
      <c r="Q620"/>
      <c r="R620"/>
      <c r="S620"/>
    </row>
    <row r="621" spans="1:19" x14ac:dyDescent="0.25">
      <c r="A621"/>
      <c r="B621"/>
      <c r="C621"/>
      <c r="D621"/>
      <c r="E621"/>
      <c r="F621"/>
      <c r="G621"/>
      <c r="H621"/>
      <c r="I621"/>
      <c r="J621"/>
      <c r="K621"/>
      <c r="L621"/>
      <c r="M621"/>
      <c r="N621"/>
      <c r="O621"/>
      <c r="P621"/>
      <c r="Q621"/>
      <c r="R621"/>
      <c r="S621"/>
    </row>
    <row r="622" spans="1:19" x14ac:dyDescent="0.25">
      <c r="A622"/>
      <c r="B622"/>
      <c r="C622"/>
      <c r="D622"/>
      <c r="E622"/>
      <c r="F622"/>
      <c r="G622"/>
      <c r="H622"/>
      <c r="I622"/>
      <c r="J622"/>
      <c r="K622"/>
      <c r="L622"/>
      <c r="M622"/>
      <c r="N622"/>
      <c r="O622"/>
      <c r="P622"/>
      <c r="Q622"/>
      <c r="R622"/>
      <c r="S622"/>
    </row>
    <row r="623" spans="1:19" x14ac:dyDescent="0.25">
      <c r="A623"/>
      <c r="B623"/>
      <c r="C623"/>
      <c r="D623"/>
      <c r="E623"/>
      <c r="F623"/>
      <c r="G623"/>
      <c r="H623"/>
      <c r="I623"/>
      <c r="J623"/>
      <c r="K623"/>
      <c r="L623"/>
      <c r="M623"/>
      <c r="N623"/>
      <c r="O623"/>
      <c r="P623"/>
      <c r="Q623"/>
      <c r="R623"/>
      <c r="S623"/>
    </row>
    <row r="624" spans="1:19" x14ac:dyDescent="0.25">
      <c r="A624"/>
      <c r="B624"/>
      <c r="C624"/>
      <c r="D624"/>
      <c r="E624"/>
      <c r="F624"/>
      <c r="G624"/>
      <c r="H624"/>
      <c r="I624"/>
      <c r="J624"/>
      <c r="K624"/>
      <c r="L624"/>
      <c r="M624"/>
      <c r="N624"/>
      <c r="O624"/>
      <c r="P624"/>
      <c r="Q624"/>
      <c r="R624"/>
      <c r="S624"/>
    </row>
    <row r="625" spans="1:19" x14ac:dyDescent="0.25">
      <c r="A625"/>
      <c r="B625"/>
      <c r="C625"/>
      <c r="D625"/>
      <c r="E625"/>
      <c r="F625"/>
      <c r="G625"/>
      <c r="H625"/>
      <c r="I625"/>
      <c r="J625"/>
      <c r="K625"/>
      <c r="L625"/>
      <c r="M625"/>
      <c r="N625"/>
      <c r="O625"/>
      <c r="P625"/>
      <c r="Q625"/>
      <c r="R625"/>
      <c r="S625"/>
    </row>
    <row r="626" spans="1:19" x14ac:dyDescent="0.25">
      <c r="A626"/>
      <c r="B626"/>
      <c r="C626"/>
      <c r="D626"/>
      <c r="E626"/>
      <c r="F626"/>
      <c r="G626"/>
      <c r="H626"/>
      <c r="I626"/>
      <c r="J626"/>
      <c r="K626"/>
      <c r="L626"/>
      <c r="M626"/>
      <c r="N626"/>
      <c r="O626"/>
      <c r="P626"/>
      <c r="Q626"/>
      <c r="R626"/>
      <c r="S626"/>
    </row>
    <row r="627" spans="1:19" x14ac:dyDescent="0.25">
      <c r="A627"/>
      <c r="B627"/>
      <c r="C627"/>
      <c r="D627"/>
      <c r="E627"/>
      <c r="F627"/>
      <c r="G627"/>
      <c r="H627"/>
      <c r="I627"/>
      <c r="J627"/>
      <c r="K627"/>
      <c r="L627"/>
      <c r="M627"/>
      <c r="N627"/>
      <c r="O627"/>
      <c r="P627"/>
      <c r="Q627"/>
      <c r="R627"/>
      <c r="S627"/>
    </row>
    <row r="628" spans="1:19" x14ac:dyDescent="0.25">
      <c r="A628"/>
      <c r="B628"/>
      <c r="C628"/>
      <c r="D628"/>
      <c r="E628"/>
      <c r="F628"/>
      <c r="G628"/>
      <c r="H628"/>
      <c r="I628"/>
      <c r="J628"/>
      <c r="K628"/>
      <c r="L628"/>
      <c r="M628"/>
      <c r="N628"/>
      <c r="O628"/>
      <c r="P628"/>
      <c r="Q628"/>
      <c r="R628"/>
      <c r="S628"/>
    </row>
    <row r="629" spans="1:19" x14ac:dyDescent="0.25">
      <c r="A629"/>
      <c r="B629"/>
      <c r="C629"/>
      <c r="D629"/>
      <c r="E629"/>
      <c r="F629"/>
      <c r="G629"/>
      <c r="H629"/>
      <c r="I629"/>
      <c r="J629"/>
      <c r="K629"/>
      <c r="L629"/>
      <c r="M629"/>
      <c r="N629"/>
      <c r="O629"/>
      <c r="P629"/>
      <c r="Q629"/>
      <c r="R629"/>
      <c r="S629"/>
    </row>
    <row r="630" spans="1:19" x14ac:dyDescent="0.25">
      <c r="A630"/>
      <c r="B630"/>
      <c r="C630"/>
      <c r="D630"/>
      <c r="E630"/>
      <c r="F630"/>
      <c r="G630"/>
      <c r="H630"/>
      <c r="I630"/>
      <c r="J630"/>
      <c r="K630"/>
      <c r="L630"/>
      <c r="M630"/>
      <c r="N630"/>
      <c r="O630"/>
      <c r="P630"/>
      <c r="Q630"/>
      <c r="R630"/>
      <c r="S630"/>
    </row>
    <row r="631" spans="1:19" x14ac:dyDescent="0.25">
      <c r="A631"/>
      <c r="B631"/>
      <c r="C631"/>
      <c r="D631"/>
      <c r="E631"/>
      <c r="F631"/>
      <c r="G631"/>
      <c r="H631"/>
      <c r="I631"/>
      <c r="J631"/>
      <c r="K631"/>
      <c r="L631"/>
      <c r="M631"/>
      <c r="N631"/>
      <c r="O631"/>
      <c r="P631"/>
      <c r="Q631"/>
      <c r="R631"/>
      <c r="S631"/>
    </row>
    <row r="632" spans="1:19" x14ac:dyDescent="0.25">
      <c r="A632"/>
      <c r="B632"/>
      <c r="C632"/>
      <c r="D632"/>
      <c r="E632"/>
      <c r="F632"/>
      <c r="G632"/>
      <c r="H632"/>
      <c r="I632"/>
      <c r="J632"/>
      <c r="K632"/>
      <c r="L632"/>
      <c r="M632"/>
      <c r="N632"/>
      <c r="O632"/>
      <c r="P632"/>
      <c r="Q632"/>
      <c r="R632"/>
      <c r="S632"/>
    </row>
    <row r="633" spans="1:19" x14ac:dyDescent="0.25">
      <c r="A633"/>
      <c r="B633"/>
      <c r="C633"/>
      <c r="D633"/>
      <c r="E633"/>
      <c r="F633"/>
      <c r="G633"/>
      <c r="H633"/>
      <c r="I633"/>
      <c r="J633"/>
      <c r="K633"/>
      <c r="L633"/>
      <c r="M633"/>
      <c r="N633"/>
      <c r="O633"/>
      <c r="P633"/>
      <c r="Q633"/>
      <c r="R633"/>
      <c r="S633"/>
    </row>
    <row r="634" spans="1:19" x14ac:dyDescent="0.25">
      <c r="A634"/>
      <c r="B634"/>
      <c r="C634"/>
      <c r="D634"/>
      <c r="E634"/>
      <c r="F634"/>
      <c r="G634"/>
      <c r="H634"/>
      <c r="I634"/>
      <c r="J634"/>
      <c r="K634"/>
      <c r="L634"/>
      <c r="M634"/>
      <c r="N634"/>
      <c r="O634"/>
      <c r="P634"/>
      <c r="Q634"/>
      <c r="R634"/>
      <c r="S634"/>
    </row>
    <row r="635" spans="1:19" x14ac:dyDescent="0.25">
      <c r="A635"/>
      <c r="B635"/>
      <c r="C635"/>
      <c r="D635"/>
      <c r="E635"/>
      <c r="F635"/>
      <c r="G635"/>
      <c r="H635"/>
      <c r="I635"/>
      <c r="J635"/>
      <c r="K635"/>
      <c r="L635"/>
      <c r="M635"/>
      <c r="N635"/>
      <c r="O635"/>
      <c r="P635"/>
      <c r="Q635"/>
      <c r="R635"/>
      <c r="S635"/>
    </row>
    <row r="636" spans="1:19" x14ac:dyDescent="0.25">
      <c r="A636"/>
      <c r="B636"/>
      <c r="C636"/>
      <c r="D636"/>
      <c r="E636"/>
      <c r="F636"/>
      <c r="G636"/>
      <c r="H636"/>
      <c r="I636"/>
      <c r="J636"/>
      <c r="K636"/>
      <c r="L636"/>
      <c r="M636"/>
      <c r="N636"/>
      <c r="O636"/>
      <c r="P636"/>
      <c r="Q636"/>
      <c r="R636"/>
      <c r="S636"/>
    </row>
    <row r="637" spans="1:19" x14ac:dyDescent="0.25">
      <c r="A637"/>
      <c r="B637"/>
      <c r="C637"/>
      <c r="D637"/>
      <c r="E637"/>
      <c r="F637"/>
      <c r="G637"/>
      <c r="H637"/>
      <c r="I637"/>
      <c r="J637"/>
      <c r="K637"/>
      <c r="L637"/>
      <c r="M637"/>
      <c r="N637"/>
      <c r="O637"/>
      <c r="P637"/>
      <c r="Q637"/>
      <c r="R637"/>
      <c r="S637"/>
    </row>
    <row r="638" spans="1:19" x14ac:dyDescent="0.25">
      <c r="A638"/>
      <c r="B638"/>
      <c r="C638"/>
      <c r="D638"/>
      <c r="E638"/>
      <c r="F638"/>
      <c r="G638"/>
      <c r="H638"/>
      <c r="I638"/>
      <c r="J638"/>
      <c r="K638"/>
      <c r="L638"/>
      <c r="M638"/>
      <c r="N638"/>
      <c r="O638"/>
      <c r="P638"/>
      <c r="Q638"/>
      <c r="R638"/>
      <c r="S638"/>
    </row>
    <row r="639" spans="1:19" x14ac:dyDescent="0.25">
      <c r="A639"/>
      <c r="B639"/>
      <c r="C639"/>
      <c r="D639"/>
      <c r="E639"/>
      <c r="F639"/>
      <c r="G639"/>
      <c r="H639"/>
      <c r="I639"/>
      <c r="J639"/>
      <c r="K639"/>
      <c r="L639"/>
      <c r="M639"/>
      <c r="N639"/>
      <c r="O639"/>
      <c r="P639"/>
      <c r="Q639"/>
      <c r="R639"/>
      <c r="S639"/>
    </row>
    <row r="640" spans="1:19" x14ac:dyDescent="0.25">
      <c r="A640"/>
      <c r="B640"/>
      <c r="C640"/>
      <c r="D640"/>
      <c r="E640"/>
      <c r="F640"/>
      <c r="G640"/>
      <c r="H640"/>
      <c r="I640"/>
      <c r="J640"/>
      <c r="K640"/>
      <c r="L640"/>
      <c r="M640"/>
      <c r="N640"/>
      <c r="O640"/>
      <c r="P640"/>
      <c r="Q640"/>
      <c r="R640"/>
      <c r="S640"/>
    </row>
    <row r="641" spans="1:19" x14ac:dyDescent="0.25">
      <c r="A641"/>
      <c r="B641"/>
      <c r="C641"/>
      <c r="D641"/>
      <c r="E641"/>
      <c r="F641"/>
      <c r="G641"/>
      <c r="H641"/>
      <c r="I641"/>
      <c r="J641"/>
      <c r="K641"/>
      <c r="L641"/>
      <c r="M641"/>
      <c r="N641"/>
      <c r="O641"/>
      <c r="P641"/>
      <c r="Q641"/>
      <c r="R641"/>
      <c r="S641"/>
    </row>
    <row r="642" spans="1:19" x14ac:dyDescent="0.25">
      <c r="A642"/>
      <c r="B642"/>
      <c r="C642"/>
      <c r="D642"/>
      <c r="E642"/>
      <c r="F642"/>
      <c r="G642"/>
      <c r="H642"/>
      <c r="I642"/>
      <c r="J642"/>
      <c r="K642"/>
      <c r="L642"/>
      <c r="M642"/>
      <c r="N642"/>
      <c r="O642"/>
      <c r="P642"/>
      <c r="Q642"/>
      <c r="R642"/>
      <c r="S642"/>
    </row>
    <row r="643" spans="1:19" x14ac:dyDescent="0.25">
      <c r="A643"/>
      <c r="B643"/>
      <c r="C643"/>
      <c r="D643"/>
      <c r="E643"/>
      <c r="F643"/>
      <c r="G643"/>
      <c r="H643"/>
      <c r="I643"/>
      <c r="J643"/>
      <c r="K643"/>
      <c r="L643"/>
      <c r="M643"/>
      <c r="N643"/>
      <c r="O643"/>
      <c r="P643"/>
      <c r="Q643"/>
      <c r="R643"/>
      <c r="S643"/>
    </row>
    <row r="644" spans="1:19" x14ac:dyDescent="0.25">
      <c r="A644"/>
      <c r="B644"/>
      <c r="C644"/>
      <c r="D644"/>
      <c r="E644"/>
      <c r="F644"/>
      <c r="G644"/>
      <c r="H644"/>
      <c r="I644"/>
      <c r="J644"/>
      <c r="K644"/>
      <c r="L644"/>
      <c r="M644"/>
      <c r="N644"/>
      <c r="O644"/>
      <c r="P644"/>
      <c r="Q644"/>
      <c r="R644"/>
      <c r="S644"/>
    </row>
    <row r="645" spans="1:19" x14ac:dyDescent="0.25">
      <c r="A645"/>
      <c r="B645"/>
      <c r="C645"/>
      <c r="D645"/>
      <c r="E645"/>
      <c r="F645"/>
      <c r="G645"/>
      <c r="H645"/>
      <c r="I645"/>
      <c r="J645"/>
      <c r="K645"/>
      <c r="L645"/>
      <c r="M645"/>
      <c r="N645"/>
      <c r="O645"/>
      <c r="P645"/>
      <c r="Q645"/>
      <c r="R645"/>
      <c r="S645"/>
    </row>
    <row r="646" spans="1:19" x14ac:dyDescent="0.25">
      <c r="A646"/>
      <c r="B646"/>
      <c r="C646"/>
      <c r="D646"/>
      <c r="E646"/>
      <c r="F646"/>
      <c r="G646"/>
      <c r="H646"/>
      <c r="I646"/>
      <c r="J646"/>
      <c r="K646"/>
      <c r="L646"/>
      <c r="M646"/>
      <c r="N646"/>
      <c r="O646"/>
      <c r="P646"/>
      <c r="Q646"/>
      <c r="R646"/>
      <c r="S646"/>
    </row>
    <row r="647" spans="1:19" x14ac:dyDescent="0.25">
      <c r="A647"/>
      <c r="B647"/>
      <c r="C647"/>
      <c r="D647"/>
      <c r="E647"/>
      <c r="F647"/>
      <c r="G647"/>
      <c r="H647"/>
      <c r="I647"/>
      <c r="J647"/>
      <c r="K647"/>
      <c r="L647"/>
      <c r="M647"/>
      <c r="N647"/>
      <c r="O647"/>
      <c r="P647"/>
      <c r="Q647"/>
      <c r="R647"/>
      <c r="S647"/>
    </row>
    <row r="648" spans="1:19" x14ac:dyDescent="0.25">
      <c r="A648"/>
      <c r="B648"/>
      <c r="C648"/>
      <c r="D648"/>
      <c r="E648"/>
      <c r="F648"/>
      <c r="G648"/>
      <c r="H648"/>
      <c r="I648"/>
      <c r="J648"/>
      <c r="K648"/>
      <c r="L648"/>
      <c r="M648"/>
      <c r="N648"/>
      <c r="O648"/>
      <c r="P648"/>
      <c r="Q648"/>
      <c r="R648"/>
      <c r="S648"/>
    </row>
    <row r="649" spans="1:19" x14ac:dyDescent="0.25">
      <c r="A649"/>
      <c r="B649"/>
      <c r="C649"/>
      <c r="D649"/>
      <c r="E649"/>
      <c r="F649"/>
      <c r="G649"/>
      <c r="H649"/>
      <c r="I649"/>
      <c r="J649"/>
      <c r="K649"/>
      <c r="L649"/>
      <c r="M649"/>
      <c r="N649"/>
      <c r="O649"/>
      <c r="P649"/>
      <c r="Q649"/>
      <c r="R649"/>
      <c r="S649"/>
    </row>
    <row r="650" spans="1:19" x14ac:dyDescent="0.25">
      <c r="A650"/>
      <c r="B650"/>
      <c r="C650"/>
      <c r="D650"/>
      <c r="E650"/>
      <c r="F650"/>
      <c r="G650"/>
      <c r="H650"/>
      <c r="I650"/>
      <c r="J650"/>
      <c r="K650"/>
      <c r="L650"/>
      <c r="M650"/>
      <c r="N650"/>
      <c r="O650"/>
      <c r="P650"/>
      <c r="Q650"/>
      <c r="R650"/>
      <c r="S650"/>
    </row>
    <row r="651" spans="1:19" x14ac:dyDescent="0.25">
      <c r="A651"/>
      <c r="B651"/>
      <c r="C651"/>
      <c r="D651"/>
      <c r="E651"/>
      <c r="F651"/>
      <c r="G651"/>
      <c r="H651"/>
      <c r="I651"/>
      <c r="J651"/>
      <c r="K651"/>
      <c r="L651"/>
      <c r="M651"/>
      <c r="N651"/>
      <c r="O651"/>
      <c r="P651"/>
      <c r="Q651"/>
      <c r="R651"/>
      <c r="S651"/>
    </row>
    <row r="652" spans="1:19" x14ac:dyDescent="0.25">
      <c r="A652"/>
      <c r="B652"/>
      <c r="C652"/>
      <c r="D652"/>
      <c r="E652"/>
      <c r="F652"/>
      <c r="G652"/>
      <c r="H652"/>
      <c r="I652"/>
      <c r="J652"/>
      <c r="K652"/>
      <c r="L652"/>
      <c r="M652"/>
      <c r="N652"/>
      <c r="O652"/>
      <c r="P652"/>
      <c r="Q652"/>
      <c r="R652"/>
      <c r="S652"/>
    </row>
    <row r="653" spans="1:19" x14ac:dyDescent="0.25">
      <c r="A653"/>
      <c r="B653"/>
      <c r="C653"/>
      <c r="D653"/>
      <c r="E653"/>
      <c r="F653"/>
      <c r="G653"/>
      <c r="H653"/>
      <c r="I653"/>
      <c r="J653"/>
      <c r="K653"/>
      <c r="L653"/>
      <c r="M653"/>
      <c r="N653"/>
      <c r="O653"/>
      <c r="P653"/>
      <c r="Q653"/>
      <c r="R653"/>
      <c r="S653"/>
    </row>
    <row r="654" spans="1:19" x14ac:dyDescent="0.25">
      <c r="A654"/>
      <c r="B654"/>
      <c r="C654"/>
      <c r="D654"/>
      <c r="E654"/>
      <c r="F654"/>
      <c r="G654"/>
      <c r="H654"/>
      <c r="I654"/>
      <c r="J654"/>
      <c r="K654"/>
      <c r="L654"/>
      <c r="M654"/>
      <c r="N654"/>
      <c r="O654"/>
      <c r="P654"/>
      <c r="Q654"/>
      <c r="R654"/>
      <c r="S654"/>
    </row>
    <row r="655" spans="1:19" x14ac:dyDescent="0.25">
      <c r="A655"/>
      <c r="B655"/>
      <c r="C655"/>
      <c r="D655"/>
      <c r="E655"/>
      <c r="F655"/>
      <c r="G655"/>
      <c r="H655"/>
      <c r="I655"/>
      <c r="J655"/>
      <c r="K655"/>
      <c r="L655"/>
      <c r="M655"/>
      <c r="N655"/>
      <c r="O655"/>
      <c r="P655"/>
      <c r="Q655"/>
      <c r="R655"/>
      <c r="S655"/>
    </row>
    <row r="656" spans="1:19" x14ac:dyDescent="0.25">
      <c r="A656"/>
      <c r="B656"/>
      <c r="C656"/>
      <c r="D656"/>
      <c r="E656"/>
      <c r="F656"/>
      <c r="G656"/>
      <c r="H656"/>
      <c r="I656"/>
      <c r="J656"/>
      <c r="K656"/>
      <c r="L656"/>
      <c r="M656"/>
      <c r="N656"/>
      <c r="O656"/>
      <c r="P656"/>
      <c r="Q656"/>
      <c r="R656"/>
      <c r="S656"/>
    </row>
    <row r="657" spans="1:19" x14ac:dyDescent="0.25">
      <c r="A657"/>
      <c r="B657"/>
      <c r="C657"/>
      <c r="D657"/>
      <c r="E657"/>
      <c r="F657"/>
      <c r="G657"/>
      <c r="H657"/>
      <c r="I657"/>
      <c r="J657"/>
      <c r="K657"/>
      <c r="L657"/>
      <c r="M657"/>
      <c r="N657"/>
      <c r="O657"/>
      <c r="P657"/>
      <c r="Q657"/>
      <c r="R657"/>
      <c r="S657"/>
    </row>
    <row r="658" spans="1:19" x14ac:dyDescent="0.25">
      <c r="A658"/>
      <c r="B658"/>
      <c r="C658"/>
      <c r="D658"/>
      <c r="E658"/>
      <c r="F658"/>
      <c r="G658"/>
      <c r="H658"/>
      <c r="I658"/>
      <c r="J658"/>
      <c r="K658"/>
      <c r="L658"/>
      <c r="M658"/>
      <c r="N658"/>
      <c r="O658"/>
      <c r="P658"/>
      <c r="Q658"/>
      <c r="R658"/>
      <c r="S658"/>
    </row>
    <row r="659" spans="1:19" x14ac:dyDescent="0.25">
      <c r="A659"/>
      <c r="B659"/>
      <c r="C659"/>
      <c r="D659"/>
      <c r="E659"/>
      <c r="F659"/>
      <c r="G659"/>
      <c r="H659"/>
      <c r="I659"/>
      <c r="J659"/>
      <c r="K659"/>
      <c r="L659"/>
      <c r="M659"/>
      <c r="N659"/>
      <c r="O659"/>
      <c r="P659"/>
      <c r="Q659"/>
      <c r="R659"/>
      <c r="S659"/>
    </row>
    <row r="660" spans="1:19" x14ac:dyDescent="0.25">
      <c r="A660"/>
      <c r="B660"/>
      <c r="C660"/>
      <c r="D660"/>
      <c r="E660"/>
      <c r="F660"/>
      <c r="G660"/>
      <c r="H660"/>
      <c r="I660"/>
      <c r="J660"/>
      <c r="K660"/>
      <c r="L660"/>
      <c r="M660"/>
      <c r="N660"/>
      <c r="O660"/>
      <c r="P660"/>
      <c r="Q660"/>
      <c r="R660"/>
      <c r="S660"/>
    </row>
    <row r="661" spans="1:19" x14ac:dyDescent="0.25">
      <c r="A661"/>
      <c r="B661"/>
      <c r="C661"/>
      <c r="D661"/>
      <c r="E661"/>
      <c r="F661"/>
      <c r="G661"/>
      <c r="H661"/>
      <c r="I661"/>
      <c r="J661"/>
      <c r="K661"/>
      <c r="L661"/>
      <c r="M661"/>
      <c r="N661"/>
      <c r="O661"/>
      <c r="P661"/>
      <c r="Q661"/>
      <c r="R661"/>
      <c r="S661"/>
    </row>
    <row r="662" spans="1:19" x14ac:dyDescent="0.25">
      <c r="A662"/>
      <c r="B662"/>
      <c r="C662"/>
      <c r="D662"/>
      <c r="E662"/>
      <c r="F662"/>
      <c r="G662"/>
      <c r="H662"/>
      <c r="I662"/>
      <c r="J662"/>
      <c r="K662"/>
      <c r="L662"/>
      <c r="M662"/>
      <c r="N662"/>
      <c r="O662"/>
      <c r="P662"/>
      <c r="Q662"/>
      <c r="R662"/>
      <c r="S662"/>
    </row>
    <row r="663" spans="1:19" x14ac:dyDescent="0.25">
      <c r="A663"/>
      <c r="B663"/>
      <c r="C663"/>
      <c r="D663"/>
      <c r="E663"/>
      <c r="F663"/>
      <c r="G663"/>
      <c r="H663"/>
      <c r="I663"/>
      <c r="J663"/>
      <c r="K663"/>
      <c r="L663"/>
      <c r="M663"/>
      <c r="N663"/>
      <c r="O663"/>
      <c r="P663"/>
      <c r="Q663"/>
      <c r="R663"/>
      <c r="S663"/>
    </row>
    <row r="664" spans="1:19" x14ac:dyDescent="0.25">
      <c r="A664"/>
      <c r="B664"/>
      <c r="C664"/>
      <c r="D664"/>
      <c r="E664"/>
      <c r="F664"/>
      <c r="G664"/>
      <c r="H664"/>
      <c r="I664"/>
      <c r="J664"/>
      <c r="K664"/>
      <c r="L664"/>
      <c r="M664"/>
      <c r="N664"/>
      <c r="O664"/>
      <c r="P664"/>
      <c r="Q664"/>
      <c r="R664"/>
      <c r="S664"/>
    </row>
    <row r="665" spans="1:19" x14ac:dyDescent="0.25">
      <c r="A665"/>
      <c r="B665"/>
      <c r="C665"/>
      <c r="D665"/>
      <c r="E665"/>
      <c r="F665"/>
      <c r="G665"/>
      <c r="H665"/>
      <c r="I665"/>
      <c r="J665"/>
      <c r="K665"/>
      <c r="L665"/>
      <c r="M665"/>
      <c r="N665"/>
      <c r="O665"/>
      <c r="P665"/>
      <c r="Q665"/>
      <c r="R665"/>
      <c r="S665"/>
    </row>
    <row r="666" spans="1:19" x14ac:dyDescent="0.25">
      <c r="A666"/>
      <c r="B666"/>
      <c r="C666"/>
      <c r="D666"/>
      <c r="E666"/>
      <c r="F666"/>
      <c r="G666"/>
      <c r="H666"/>
      <c r="I666"/>
      <c r="J666"/>
      <c r="K666"/>
      <c r="L666"/>
      <c r="M666"/>
      <c r="N666"/>
      <c r="O666"/>
      <c r="P666"/>
      <c r="Q666"/>
      <c r="R666"/>
      <c r="S666"/>
    </row>
    <row r="667" spans="1:19" x14ac:dyDescent="0.25">
      <c r="A667"/>
      <c r="B667"/>
      <c r="C667"/>
      <c r="D667"/>
      <c r="E667"/>
      <c r="F667"/>
      <c r="G667"/>
      <c r="H667"/>
      <c r="I667"/>
      <c r="J667"/>
      <c r="K667"/>
      <c r="L667"/>
      <c r="M667"/>
      <c r="N667"/>
      <c r="O667"/>
      <c r="P667"/>
      <c r="Q667"/>
      <c r="R667"/>
      <c r="S667"/>
    </row>
    <row r="668" spans="1:19" x14ac:dyDescent="0.25">
      <c r="A668"/>
      <c r="B668"/>
      <c r="C668"/>
      <c r="D668"/>
      <c r="E668"/>
      <c r="F668"/>
      <c r="G668"/>
      <c r="H668"/>
      <c r="I668"/>
      <c r="J668"/>
      <c r="K668"/>
      <c r="L668"/>
      <c r="M668"/>
      <c r="N668"/>
      <c r="O668"/>
      <c r="P668"/>
      <c r="Q668"/>
      <c r="R668"/>
      <c r="S668"/>
    </row>
    <row r="669" spans="1:19" x14ac:dyDescent="0.25">
      <c r="A669"/>
      <c r="B669"/>
      <c r="C669"/>
      <c r="D669"/>
      <c r="E669"/>
      <c r="F669"/>
      <c r="G669"/>
      <c r="H669"/>
      <c r="I669"/>
      <c r="J669"/>
      <c r="K669"/>
      <c r="L669"/>
      <c r="M669"/>
      <c r="N669"/>
      <c r="O669"/>
      <c r="P669"/>
      <c r="Q669"/>
      <c r="R669"/>
      <c r="S669"/>
    </row>
    <row r="670" spans="1:19" x14ac:dyDescent="0.25">
      <c r="A670"/>
      <c r="B670"/>
      <c r="C670"/>
      <c r="D670"/>
      <c r="E670"/>
      <c r="F670"/>
      <c r="G670"/>
      <c r="H670"/>
      <c r="I670"/>
      <c r="J670"/>
      <c r="K670"/>
      <c r="L670"/>
      <c r="M670"/>
      <c r="N670"/>
      <c r="O670"/>
      <c r="P670"/>
      <c r="Q670"/>
      <c r="R670"/>
      <c r="S670"/>
    </row>
    <row r="671" spans="1:19" x14ac:dyDescent="0.25">
      <c r="A671"/>
      <c r="B671"/>
      <c r="C671"/>
      <c r="D671"/>
      <c r="E671"/>
      <c r="F671"/>
      <c r="G671"/>
      <c r="H671"/>
      <c r="I671"/>
      <c r="J671"/>
      <c r="K671"/>
      <c r="L671"/>
      <c r="M671"/>
      <c r="N671"/>
      <c r="O671"/>
      <c r="P671"/>
      <c r="Q671"/>
      <c r="R671"/>
      <c r="S671"/>
    </row>
    <row r="672" spans="1:19" x14ac:dyDescent="0.25">
      <c r="A672"/>
      <c r="B672"/>
      <c r="C672"/>
      <c r="D672"/>
      <c r="E672"/>
      <c r="F672"/>
      <c r="G672"/>
      <c r="H672"/>
      <c r="I672"/>
      <c r="J672"/>
      <c r="K672"/>
      <c r="L672"/>
      <c r="M672"/>
      <c r="N672"/>
      <c r="O672"/>
      <c r="P672"/>
      <c r="Q672"/>
      <c r="R672"/>
      <c r="S672"/>
    </row>
    <row r="673" spans="1:19" x14ac:dyDescent="0.25">
      <c r="A673"/>
      <c r="B673"/>
      <c r="C673"/>
      <c r="D673"/>
      <c r="E673"/>
      <c r="F673"/>
      <c r="G673"/>
      <c r="H673"/>
      <c r="I673"/>
      <c r="J673"/>
      <c r="K673"/>
      <c r="L673"/>
      <c r="M673"/>
      <c r="N673"/>
      <c r="O673"/>
      <c r="P673"/>
      <c r="Q673"/>
      <c r="R673"/>
      <c r="S673"/>
    </row>
    <row r="674" spans="1:19" x14ac:dyDescent="0.25">
      <c r="A674"/>
      <c r="B674"/>
      <c r="C674"/>
      <c r="D674"/>
      <c r="E674"/>
      <c r="F674"/>
      <c r="G674"/>
      <c r="H674"/>
      <c r="I674"/>
      <c r="J674"/>
      <c r="K674"/>
      <c r="L674"/>
      <c r="M674"/>
      <c r="N674"/>
      <c r="O674"/>
      <c r="P674"/>
      <c r="Q674"/>
      <c r="R674"/>
      <c r="S674"/>
    </row>
    <row r="675" spans="1:19" x14ac:dyDescent="0.25">
      <c r="A675"/>
      <c r="B675"/>
      <c r="C675"/>
      <c r="D675"/>
      <c r="E675"/>
      <c r="F675"/>
      <c r="G675"/>
      <c r="H675"/>
      <c r="I675"/>
      <c r="J675"/>
      <c r="K675"/>
      <c r="L675"/>
      <c r="M675"/>
      <c r="N675"/>
      <c r="O675"/>
      <c r="P675"/>
      <c r="Q675"/>
      <c r="R675"/>
      <c r="S675"/>
    </row>
    <row r="676" spans="1:19" x14ac:dyDescent="0.25">
      <c r="A676"/>
      <c r="B676"/>
      <c r="C676"/>
      <c r="D676"/>
      <c r="E676"/>
      <c r="F676"/>
      <c r="G676"/>
      <c r="H676"/>
      <c r="I676"/>
      <c r="J676"/>
      <c r="K676"/>
      <c r="L676"/>
      <c r="M676"/>
      <c r="N676"/>
      <c r="O676"/>
      <c r="P676"/>
      <c r="Q676"/>
      <c r="R676"/>
      <c r="S676"/>
    </row>
    <row r="677" spans="1:19" x14ac:dyDescent="0.25">
      <c r="A677"/>
      <c r="B677"/>
      <c r="C677"/>
      <c r="D677"/>
      <c r="E677"/>
      <c r="F677"/>
      <c r="G677"/>
      <c r="H677"/>
      <c r="I677"/>
      <c r="J677"/>
      <c r="K677"/>
      <c r="L677"/>
      <c r="M677"/>
      <c r="N677"/>
      <c r="O677"/>
      <c r="P677"/>
      <c r="Q677"/>
      <c r="R677"/>
      <c r="S677"/>
    </row>
    <row r="678" spans="1:19" x14ac:dyDescent="0.25">
      <c r="A678"/>
      <c r="B678"/>
      <c r="C678"/>
      <c r="D678"/>
      <c r="E678"/>
      <c r="F678"/>
      <c r="G678"/>
      <c r="H678"/>
      <c r="I678"/>
      <c r="J678"/>
      <c r="K678"/>
      <c r="L678"/>
      <c r="M678"/>
      <c r="N678"/>
      <c r="O678"/>
      <c r="P678"/>
      <c r="Q678"/>
      <c r="R678"/>
      <c r="S678"/>
    </row>
    <row r="679" spans="1:19" x14ac:dyDescent="0.25">
      <c r="A679"/>
      <c r="B679"/>
      <c r="C679"/>
      <c r="D679"/>
      <c r="E679"/>
      <c r="F679"/>
      <c r="G679"/>
      <c r="H679"/>
      <c r="I679"/>
      <c r="J679"/>
      <c r="K679"/>
      <c r="L679"/>
      <c r="M679"/>
      <c r="N679"/>
      <c r="O679"/>
      <c r="P679"/>
      <c r="Q679"/>
      <c r="R679"/>
      <c r="S679"/>
    </row>
    <row r="680" spans="1:19" x14ac:dyDescent="0.25">
      <c r="A680"/>
      <c r="B680"/>
      <c r="C680"/>
      <c r="D680"/>
      <c r="E680"/>
      <c r="F680"/>
      <c r="G680"/>
      <c r="H680"/>
      <c r="I680"/>
      <c r="J680"/>
      <c r="K680"/>
      <c r="L680"/>
      <c r="M680"/>
      <c r="N680"/>
      <c r="O680"/>
      <c r="P680"/>
      <c r="Q680"/>
      <c r="R680"/>
      <c r="S680"/>
    </row>
    <row r="681" spans="1:19" x14ac:dyDescent="0.25">
      <c r="A681"/>
      <c r="B681"/>
      <c r="C681"/>
      <c r="D681"/>
      <c r="E681"/>
      <c r="F681"/>
      <c r="G681"/>
      <c r="H681"/>
      <c r="I681"/>
      <c r="J681"/>
      <c r="K681"/>
      <c r="L681"/>
      <c r="M681"/>
      <c r="N681"/>
      <c r="O681"/>
      <c r="P681"/>
      <c r="Q681"/>
      <c r="R681"/>
      <c r="S681"/>
    </row>
    <row r="682" spans="1:19" x14ac:dyDescent="0.25">
      <c r="A682"/>
      <c r="B682"/>
      <c r="C682"/>
      <c r="D682"/>
      <c r="E682"/>
      <c r="F682"/>
      <c r="G682"/>
      <c r="H682"/>
      <c r="I682"/>
      <c r="J682"/>
      <c r="K682"/>
      <c r="L682"/>
      <c r="M682"/>
      <c r="N682"/>
      <c r="O682"/>
      <c r="P682"/>
      <c r="Q682"/>
      <c r="R682"/>
      <c r="S682"/>
    </row>
    <row r="683" spans="1:19" x14ac:dyDescent="0.25">
      <c r="A683"/>
      <c r="B683"/>
      <c r="C683"/>
      <c r="D683"/>
      <c r="E683"/>
      <c r="F683"/>
      <c r="G683"/>
      <c r="H683"/>
      <c r="I683"/>
      <c r="J683"/>
      <c r="K683"/>
      <c r="L683"/>
      <c r="M683"/>
      <c r="N683"/>
      <c r="O683"/>
      <c r="P683"/>
      <c r="Q683"/>
      <c r="R683"/>
      <c r="S683"/>
    </row>
    <row r="684" spans="1:19" x14ac:dyDescent="0.25">
      <c r="A684"/>
      <c r="B684"/>
      <c r="C684"/>
      <c r="D684"/>
      <c r="E684"/>
      <c r="F684"/>
      <c r="G684"/>
      <c r="H684"/>
      <c r="I684"/>
      <c r="J684"/>
      <c r="K684"/>
      <c r="L684"/>
      <c r="M684"/>
      <c r="N684"/>
      <c r="O684"/>
      <c r="P684"/>
      <c r="Q684"/>
      <c r="R684"/>
      <c r="S684"/>
    </row>
    <row r="685" spans="1:19" x14ac:dyDescent="0.25">
      <c r="A685"/>
      <c r="B685"/>
      <c r="C685"/>
      <c r="D685"/>
      <c r="E685"/>
      <c r="F685"/>
      <c r="G685"/>
      <c r="H685"/>
      <c r="I685"/>
      <c r="J685"/>
      <c r="K685"/>
      <c r="L685"/>
      <c r="M685"/>
      <c r="N685"/>
      <c r="O685"/>
      <c r="P685"/>
      <c r="Q685"/>
      <c r="R685"/>
      <c r="S685"/>
    </row>
    <row r="686" spans="1:19" x14ac:dyDescent="0.25">
      <c r="A686"/>
      <c r="B686"/>
      <c r="C686"/>
      <c r="D686"/>
      <c r="E686"/>
      <c r="F686"/>
      <c r="G686"/>
      <c r="H686"/>
      <c r="I686"/>
      <c r="J686"/>
      <c r="K686"/>
      <c r="L686"/>
      <c r="M686"/>
      <c r="N686"/>
      <c r="O686"/>
      <c r="P686"/>
      <c r="Q686"/>
      <c r="R686"/>
      <c r="S686"/>
    </row>
    <row r="687" spans="1:19" x14ac:dyDescent="0.25">
      <c r="A687"/>
      <c r="B687"/>
      <c r="C687"/>
      <c r="D687"/>
      <c r="E687"/>
      <c r="F687"/>
      <c r="G687"/>
      <c r="H687"/>
      <c r="I687"/>
      <c r="J687"/>
      <c r="K687"/>
      <c r="L687"/>
      <c r="M687"/>
      <c r="N687"/>
      <c r="O687"/>
      <c r="P687"/>
      <c r="Q687"/>
      <c r="R687"/>
      <c r="S687"/>
    </row>
    <row r="688" spans="1:19" x14ac:dyDescent="0.25">
      <c r="A688"/>
      <c r="B688"/>
      <c r="C688"/>
      <c r="D688"/>
      <c r="E688"/>
      <c r="F688"/>
      <c r="G688"/>
      <c r="H688"/>
      <c r="I688"/>
      <c r="J688"/>
      <c r="K688"/>
      <c r="L688"/>
      <c r="M688"/>
      <c r="N688"/>
      <c r="O688"/>
      <c r="P688"/>
      <c r="Q688"/>
      <c r="R688"/>
      <c r="S688"/>
    </row>
    <row r="689" spans="1:19" x14ac:dyDescent="0.25">
      <c r="A689"/>
      <c r="B689"/>
      <c r="C689"/>
      <c r="D689"/>
      <c r="E689"/>
      <c r="F689"/>
      <c r="G689"/>
      <c r="H689"/>
      <c r="I689"/>
      <c r="J689"/>
      <c r="K689"/>
      <c r="L689"/>
      <c r="M689"/>
      <c r="N689"/>
      <c r="O689"/>
      <c r="P689"/>
      <c r="Q689"/>
      <c r="R689"/>
      <c r="S689"/>
    </row>
    <row r="690" spans="1:19" x14ac:dyDescent="0.25">
      <c r="A690"/>
      <c r="B690"/>
      <c r="C690"/>
      <c r="D690"/>
      <c r="E690"/>
      <c r="F690"/>
      <c r="G690"/>
      <c r="H690"/>
      <c r="I690"/>
      <c r="J690"/>
      <c r="K690"/>
      <c r="L690"/>
      <c r="M690"/>
      <c r="N690"/>
      <c r="O690"/>
      <c r="P690"/>
      <c r="Q690"/>
      <c r="R690"/>
      <c r="S690"/>
    </row>
    <row r="691" spans="1:19" x14ac:dyDescent="0.25">
      <c r="A691"/>
      <c r="B691"/>
      <c r="C691"/>
      <c r="D691"/>
      <c r="E691"/>
      <c r="F691"/>
      <c r="G691"/>
      <c r="H691"/>
      <c r="I691"/>
      <c r="J691"/>
      <c r="K691"/>
      <c r="L691"/>
      <c r="M691"/>
      <c r="N691"/>
      <c r="O691"/>
      <c r="P691"/>
      <c r="Q691"/>
      <c r="R691"/>
      <c r="S691"/>
    </row>
    <row r="692" spans="1:19" x14ac:dyDescent="0.25">
      <c r="A692"/>
      <c r="B692"/>
      <c r="C692"/>
      <c r="D692"/>
      <c r="E692"/>
      <c r="F692"/>
      <c r="G692"/>
      <c r="H692"/>
      <c r="I692"/>
      <c r="J692"/>
      <c r="K692"/>
      <c r="L692"/>
      <c r="M692"/>
      <c r="N692"/>
      <c r="O692"/>
      <c r="P692"/>
      <c r="Q692"/>
      <c r="R692"/>
      <c r="S692"/>
    </row>
    <row r="693" spans="1:19" x14ac:dyDescent="0.25">
      <c r="A693"/>
      <c r="B693"/>
      <c r="C693"/>
      <c r="D693"/>
      <c r="E693"/>
      <c r="F693"/>
      <c r="G693"/>
      <c r="H693"/>
      <c r="I693"/>
      <c r="J693"/>
      <c r="K693"/>
      <c r="L693"/>
      <c r="M693"/>
      <c r="N693"/>
      <c r="O693"/>
      <c r="P693"/>
      <c r="Q693"/>
      <c r="R693"/>
      <c r="S693"/>
    </row>
    <row r="694" spans="1:19" x14ac:dyDescent="0.25">
      <c r="A694"/>
      <c r="B694"/>
      <c r="C694"/>
      <c r="D694"/>
      <c r="E694"/>
      <c r="F694"/>
      <c r="G694"/>
      <c r="H694"/>
      <c r="I694"/>
      <c r="J694"/>
      <c r="K694"/>
      <c r="L694"/>
      <c r="M694"/>
      <c r="N694"/>
      <c r="O694"/>
      <c r="P694"/>
      <c r="Q694"/>
      <c r="R694"/>
      <c r="S694"/>
    </row>
    <row r="695" spans="1:19" x14ac:dyDescent="0.25">
      <c r="A695"/>
      <c r="B695"/>
      <c r="C695"/>
      <c r="D695"/>
      <c r="E695"/>
      <c r="F695"/>
      <c r="G695"/>
      <c r="H695"/>
      <c r="I695"/>
      <c r="J695"/>
      <c r="K695"/>
      <c r="L695"/>
      <c r="M695"/>
      <c r="N695"/>
      <c r="O695"/>
      <c r="P695"/>
      <c r="Q695"/>
      <c r="R695"/>
      <c r="S695"/>
    </row>
    <row r="696" spans="1:19" x14ac:dyDescent="0.25">
      <c r="A696"/>
      <c r="B696"/>
      <c r="C696"/>
      <c r="D696"/>
      <c r="E696"/>
      <c r="F696"/>
      <c r="G696"/>
      <c r="H696"/>
      <c r="I696"/>
      <c r="J696"/>
      <c r="K696"/>
      <c r="L696"/>
      <c r="M696"/>
      <c r="N696"/>
      <c r="O696"/>
      <c r="P696"/>
      <c r="Q696"/>
      <c r="R696"/>
      <c r="S696"/>
    </row>
    <row r="697" spans="1:19" x14ac:dyDescent="0.25">
      <c r="A697"/>
      <c r="B697"/>
      <c r="C697"/>
      <c r="D697"/>
      <c r="E697"/>
      <c r="F697"/>
      <c r="G697"/>
      <c r="H697"/>
      <c r="I697"/>
      <c r="J697"/>
      <c r="K697"/>
      <c r="L697"/>
      <c r="M697"/>
      <c r="N697"/>
      <c r="O697"/>
      <c r="P697"/>
      <c r="Q697"/>
      <c r="R697"/>
      <c r="S697"/>
    </row>
    <row r="698" spans="1:19" x14ac:dyDescent="0.25">
      <c r="A698"/>
      <c r="B698"/>
      <c r="C698"/>
      <c r="D698"/>
      <c r="E698"/>
      <c r="F698"/>
      <c r="G698"/>
      <c r="H698"/>
      <c r="I698"/>
      <c r="J698"/>
      <c r="K698"/>
      <c r="L698"/>
      <c r="M698"/>
      <c r="N698"/>
      <c r="O698"/>
      <c r="P698"/>
      <c r="Q698"/>
      <c r="R698"/>
      <c r="S698"/>
    </row>
    <row r="699" spans="1:19" x14ac:dyDescent="0.25">
      <c r="A699"/>
      <c r="B699"/>
      <c r="C699"/>
      <c r="D699"/>
      <c r="E699"/>
      <c r="F699"/>
      <c r="G699"/>
      <c r="H699"/>
      <c r="I699"/>
      <c r="J699"/>
      <c r="K699"/>
      <c r="L699"/>
      <c r="M699"/>
      <c r="N699"/>
      <c r="O699"/>
      <c r="P699"/>
      <c r="Q699"/>
      <c r="R699"/>
      <c r="S699"/>
    </row>
    <row r="700" spans="1:19" x14ac:dyDescent="0.25">
      <c r="A700"/>
      <c r="B700"/>
      <c r="C700"/>
      <c r="D700"/>
      <c r="E700"/>
      <c r="F700"/>
      <c r="G700"/>
      <c r="H700"/>
      <c r="I700"/>
      <c r="J700"/>
      <c r="K700"/>
      <c r="L700"/>
      <c r="M700"/>
      <c r="N700"/>
      <c r="O700"/>
      <c r="P700"/>
      <c r="Q700"/>
      <c r="R700"/>
      <c r="S700"/>
    </row>
    <row r="701" spans="1:19" x14ac:dyDescent="0.25">
      <c r="A701"/>
      <c r="B701"/>
      <c r="C701"/>
      <c r="D701"/>
      <c r="E701"/>
      <c r="F701"/>
      <c r="G701"/>
      <c r="H701"/>
      <c r="I701"/>
      <c r="J701"/>
      <c r="K701"/>
      <c r="L701"/>
      <c r="M701"/>
      <c r="N701"/>
      <c r="O701"/>
      <c r="P701"/>
      <c r="Q701"/>
      <c r="R701"/>
      <c r="S701"/>
    </row>
    <row r="702" spans="1:19" x14ac:dyDescent="0.25">
      <c r="A702"/>
      <c r="B702"/>
      <c r="C702"/>
      <c r="D702"/>
      <c r="E702"/>
      <c r="F702"/>
      <c r="G702"/>
      <c r="H702"/>
      <c r="I702"/>
      <c r="J702"/>
      <c r="K702"/>
      <c r="L702"/>
      <c r="M702"/>
      <c r="N702"/>
      <c r="O702"/>
      <c r="P702"/>
      <c r="Q702"/>
      <c r="R702"/>
      <c r="S702"/>
    </row>
    <row r="703" spans="1:19" x14ac:dyDescent="0.25">
      <c r="A703"/>
      <c r="B703"/>
      <c r="C703"/>
      <c r="D703"/>
      <c r="E703"/>
      <c r="F703"/>
      <c r="G703"/>
      <c r="H703"/>
      <c r="I703"/>
      <c r="J703"/>
      <c r="K703"/>
      <c r="L703"/>
      <c r="M703"/>
      <c r="N703"/>
      <c r="O703"/>
      <c r="P703"/>
      <c r="Q703"/>
      <c r="R703"/>
      <c r="S703"/>
    </row>
    <row r="704" spans="1:19" x14ac:dyDescent="0.25">
      <c r="A704"/>
      <c r="B704"/>
      <c r="C704"/>
      <c r="D704"/>
      <c r="E704"/>
      <c r="F704"/>
      <c r="G704"/>
      <c r="H704"/>
      <c r="I704"/>
      <c r="J704"/>
      <c r="K704"/>
      <c r="L704"/>
      <c r="M704"/>
      <c r="N704"/>
      <c r="O704"/>
      <c r="P704"/>
      <c r="Q704"/>
      <c r="R704"/>
      <c r="S704"/>
    </row>
    <row r="705" spans="1:19" x14ac:dyDescent="0.25">
      <c r="A705"/>
      <c r="B705"/>
      <c r="C705"/>
      <c r="D705"/>
      <c r="E705"/>
      <c r="F705"/>
      <c r="G705"/>
      <c r="H705"/>
      <c r="I705"/>
      <c r="J705"/>
      <c r="K705"/>
      <c r="L705"/>
      <c r="M705"/>
      <c r="N705"/>
      <c r="O705"/>
      <c r="P705"/>
      <c r="Q705"/>
      <c r="R705"/>
      <c r="S705"/>
    </row>
    <row r="706" spans="1:19" x14ac:dyDescent="0.25">
      <c r="A706"/>
      <c r="B706"/>
      <c r="C706"/>
      <c r="D706"/>
      <c r="E706"/>
      <c r="F706"/>
      <c r="G706"/>
      <c r="H706"/>
      <c r="I706"/>
      <c r="J706"/>
      <c r="K706"/>
      <c r="L706"/>
      <c r="M706"/>
      <c r="N706"/>
      <c r="O706"/>
      <c r="P706"/>
      <c r="Q706"/>
      <c r="R706"/>
      <c r="S706"/>
    </row>
    <row r="707" spans="1:19" x14ac:dyDescent="0.25">
      <c r="A707"/>
      <c r="B707"/>
      <c r="C707"/>
      <c r="D707"/>
      <c r="E707"/>
      <c r="F707"/>
      <c r="G707"/>
      <c r="H707"/>
      <c r="I707"/>
      <c r="J707"/>
      <c r="K707"/>
      <c r="L707"/>
      <c r="M707"/>
      <c r="N707"/>
      <c r="O707"/>
      <c r="P707"/>
      <c r="Q707"/>
      <c r="R707"/>
      <c r="S707"/>
    </row>
    <row r="708" spans="1:19" x14ac:dyDescent="0.25">
      <c r="A708"/>
      <c r="B708"/>
      <c r="C708"/>
      <c r="D708"/>
      <c r="E708"/>
      <c r="F708"/>
      <c r="G708"/>
      <c r="H708"/>
      <c r="I708"/>
      <c r="J708"/>
      <c r="K708"/>
      <c r="L708"/>
      <c r="M708"/>
      <c r="N708"/>
      <c r="O708"/>
      <c r="P708"/>
      <c r="Q708"/>
      <c r="R708"/>
      <c r="S708"/>
    </row>
    <row r="709" spans="1:19" x14ac:dyDescent="0.25">
      <c r="A709"/>
      <c r="B709"/>
      <c r="C709"/>
      <c r="D709"/>
      <c r="E709"/>
      <c r="F709"/>
      <c r="G709"/>
      <c r="H709"/>
      <c r="I709"/>
      <c r="J709"/>
      <c r="K709"/>
      <c r="L709"/>
      <c r="M709"/>
      <c r="N709"/>
      <c r="O709"/>
      <c r="P709"/>
      <c r="Q709"/>
      <c r="R709"/>
      <c r="S709"/>
    </row>
    <row r="710" spans="1:19" x14ac:dyDescent="0.25">
      <c r="A710"/>
      <c r="B710"/>
      <c r="C710"/>
      <c r="D710"/>
      <c r="E710"/>
      <c r="F710"/>
      <c r="G710"/>
      <c r="H710"/>
      <c r="I710"/>
      <c r="J710"/>
      <c r="K710"/>
      <c r="L710"/>
      <c r="M710"/>
      <c r="N710"/>
      <c r="O710"/>
      <c r="P710"/>
      <c r="Q710"/>
      <c r="R710"/>
      <c r="S710"/>
    </row>
    <row r="711" spans="1:19" x14ac:dyDescent="0.25">
      <c r="A711"/>
      <c r="B711"/>
      <c r="C711"/>
      <c r="D711"/>
      <c r="E711"/>
      <c r="F711"/>
      <c r="G711"/>
      <c r="H711"/>
      <c r="I711"/>
      <c r="J711"/>
      <c r="K711"/>
      <c r="L711"/>
      <c r="M711"/>
      <c r="N711"/>
      <c r="O711"/>
      <c r="P711"/>
      <c r="Q711"/>
      <c r="R711"/>
      <c r="S711"/>
    </row>
    <row r="712" spans="1:19" x14ac:dyDescent="0.25">
      <c r="A712"/>
      <c r="B712"/>
      <c r="C712"/>
      <c r="D712"/>
      <c r="E712"/>
      <c r="F712"/>
      <c r="G712"/>
      <c r="H712"/>
      <c r="I712"/>
      <c r="J712"/>
      <c r="K712"/>
      <c r="L712"/>
      <c r="M712"/>
      <c r="N712"/>
      <c r="O712"/>
      <c r="P712"/>
      <c r="Q712"/>
      <c r="R712"/>
      <c r="S712"/>
    </row>
    <row r="713" spans="1:19" x14ac:dyDescent="0.25">
      <c r="A713"/>
      <c r="B713"/>
      <c r="C713"/>
      <c r="D713"/>
      <c r="E713"/>
      <c r="F713"/>
      <c r="G713"/>
      <c r="H713"/>
      <c r="I713"/>
      <c r="J713"/>
      <c r="K713"/>
      <c r="L713"/>
      <c r="M713"/>
      <c r="N713"/>
      <c r="O713"/>
      <c r="P713"/>
      <c r="Q713"/>
      <c r="R713"/>
      <c r="S713"/>
    </row>
    <row r="714" spans="1:19" x14ac:dyDescent="0.25">
      <c r="A714"/>
      <c r="B714"/>
      <c r="C714"/>
      <c r="D714"/>
      <c r="E714"/>
      <c r="F714"/>
      <c r="G714"/>
      <c r="H714"/>
      <c r="I714"/>
      <c r="J714"/>
      <c r="K714"/>
      <c r="L714"/>
      <c r="M714"/>
      <c r="N714"/>
      <c r="O714"/>
      <c r="P714"/>
      <c r="Q714"/>
      <c r="R714"/>
      <c r="S714"/>
    </row>
    <row r="715" spans="1:19" x14ac:dyDescent="0.25">
      <c r="A715"/>
      <c r="B715"/>
      <c r="C715"/>
      <c r="D715"/>
      <c r="E715"/>
      <c r="F715"/>
      <c r="G715"/>
      <c r="H715"/>
      <c r="I715"/>
      <c r="J715"/>
      <c r="K715"/>
      <c r="L715"/>
      <c r="M715"/>
      <c r="N715"/>
      <c r="O715"/>
      <c r="P715"/>
      <c r="Q715"/>
      <c r="R715"/>
      <c r="S715"/>
    </row>
    <row r="716" spans="1:19" x14ac:dyDescent="0.25">
      <c r="A716"/>
      <c r="B716"/>
      <c r="C716"/>
      <c r="D716"/>
      <c r="E716"/>
      <c r="F716"/>
      <c r="G716"/>
      <c r="H716"/>
      <c r="I716"/>
      <c r="J716"/>
      <c r="K716"/>
      <c r="L716"/>
      <c r="M716"/>
      <c r="N716"/>
      <c r="O716"/>
      <c r="P716"/>
      <c r="Q716"/>
      <c r="R716"/>
      <c r="S716"/>
    </row>
    <row r="717" spans="1:19" x14ac:dyDescent="0.25">
      <c r="A717"/>
      <c r="B717"/>
      <c r="C717"/>
      <c r="D717"/>
      <c r="E717"/>
      <c r="F717"/>
      <c r="G717"/>
      <c r="H717"/>
      <c r="I717"/>
      <c r="J717"/>
      <c r="K717"/>
      <c r="L717"/>
      <c r="M717"/>
      <c r="N717"/>
      <c r="O717"/>
      <c r="P717"/>
      <c r="Q717"/>
      <c r="R717"/>
      <c r="S717"/>
    </row>
    <row r="718" spans="1:19" x14ac:dyDescent="0.25">
      <c r="A718"/>
      <c r="B718"/>
      <c r="C718"/>
      <c r="D718"/>
      <c r="E718"/>
      <c r="F718"/>
      <c r="G718"/>
      <c r="H718"/>
      <c r="I718"/>
      <c r="J718"/>
      <c r="K718"/>
      <c r="L718"/>
      <c r="M718"/>
      <c r="N718"/>
      <c r="O718"/>
      <c r="P718"/>
      <c r="Q718"/>
      <c r="R718"/>
      <c r="S718"/>
    </row>
    <row r="719" spans="1:19" x14ac:dyDescent="0.25">
      <c r="A719"/>
      <c r="B719"/>
      <c r="C719"/>
      <c r="D719"/>
      <c r="E719"/>
      <c r="F719"/>
      <c r="G719"/>
      <c r="H719"/>
      <c r="I719"/>
      <c r="J719"/>
      <c r="K719"/>
      <c r="L719"/>
      <c r="M719"/>
      <c r="N719"/>
      <c r="O719"/>
      <c r="P719"/>
      <c r="Q719"/>
      <c r="R719"/>
      <c r="S719"/>
    </row>
    <row r="720" spans="1:19" x14ac:dyDescent="0.25">
      <c r="A720"/>
      <c r="B720"/>
      <c r="C720"/>
      <c r="D720"/>
      <c r="E720"/>
      <c r="F720"/>
      <c r="G720"/>
      <c r="H720"/>
      <c r="I720"/>
      <c r="J720"/>
      <c r="K720"/>
      <c r="L720"/>
      <c r="M720"/>
      <c r="N720"/>
      <c r="O720"/>
      <c r="P720"/>
      <c r="Q720"/>
      <c r="R720"/>
      <c r="S720"/>
    </row>
    <row r="721" spans="1:19" x14ac:dyDescent="0.25">
      <c r="A721"/>
      <c r="B721"/>
      <c r="C721"/>
      <c r="D721"/>
      <c r="E721"/>
      <c r="F721"/>
      <c r="G721"/>
      <c r="H721"/>
      <c r="I721"/>
      <c r="J721"/>
      <c r="K721"/>
      <c r="L721"/>
      <c r="M721"/>
      <c r="N721"/>
      <c r="O721"/>
      <c r="P721"/>
      <c r="Q721"/>
      <c r="R721"/>
      <c r="S721"/>
    </row>
    <row r="722" spans="1:19" x14ac:dyDescent="0.25">
      <c r="A722"/>
      <c r="B722"/>
      <c r="C722"/>
      <c r="D722"/>
      <c r="E722"/>
      <c r="F722"/>
      <c r="G722"/>
      <c r="H722"/>
      <c r="I722"/>
      <c r="J722"/>
      <c r="K722"/>
      <c r="L722"/>
      <c r="M722"/>
      <c r="N722"/>
      <c r="O722"/>
      <c r="P722"/>
      <c r="Q722"/>
      <c r="R722"/>
      <c r="S722"/>
    </row>
    <row r="723" spans="1:19" x14ac:dyDescent="0.25">
      <c r="A723"/>
      <c r="B723"/>
      <c r="C723"/>
      <c r="D723"/>
      <c r="E723"/>
      <c r="F723"/>
      <c r="G723"/>
      <c r="H723"/>
      <c r="I723"/>
      <c r="J723"/>
      <c r="K723"/>
      <c r="L723"/>
      <c r="M723"/>
      <c r="N723"/>
      <c r="O723"/>
      <c r="P723"/>
      <c r="Q723"/>
      <c r="R723"/>
      <c r="S723"/>
    </row>
    <row r="724" spans="1:19" x14ac:dyDescent="0.25">
      <c r="A724"/>
      <c r="B724"/>
      <c r="C724"/>
      <c r="D724"/>
      <c r="E724"/>
      <c r="F724"/>
      <c r="G724"/>
      <c r="H724"/>
      <c r="I724"/>
      <c r="J724"/>
      <c r="K724"/>
      <c r="L724"/>
      <c r="M724"/>
      <c r="N724"/>
      <c r="O724"/>
      <c r="P724"/>
      <c r="Q724"/>
      <c r="R724"/>
      <c r="S724"/>
    </row>
    <row r="725" spans="1:19" x14ac:dyDescent="0.25">
      <c r="A725"/>
      <c r="B725"/>
      <c r="C725"/>
      <c r="D725"/>
      <c r="E725"/>
      <c r="F725"/>
      <c r="G725"/>
      <c r="H725"/>
      <c r="I725"/>
      <c r="J725"/>
      <c r="K725"/>
      <c r="L725"/>
      <c r="M725"/>
      <c r="N725"/>
      <c r="O725"/>
      <c r="P725"/>
      <c r="Q725"/>
      <c r="R725"/>
      <c r="S725"/>
    </row>
    <row r="726" spans="1:19" x14ac:dyDescent="0.25">
      <c r="A726"/>
      <c r="B726"/>
      <c r="C726"/>
      <c r="D726"/>
      <c r="E726"/>
      <c r="F726"/>
      <c r="G726"/>
      <c r="H726"/>
      <c r="I726"/>
      <c r="J726"/>
      <c r="K726"/>
      <c r="L726"/>
      <c r="M726"/>
      <c r="N726"/>
      <c r="O726"/>
      <c r="P726"/>
      <c r="Q726"/>
      <c r="R726"/>
      <c r="S726"/>
    </row>
    <row r="727" spans="1:19" x14ac:dyDescent="0.25">
      <c r="A727"/>
      <c r="B727"/>
      <c r="C727"/>
      <c r="D727"/>
      <c r="E727"/>
      <c r="F727"/>
      <c r="G727"/>
      <c r="H727"/>
      <c r="I727"/>
      <c r="J727"/>
      <c r="K727"/>
      <c r="L727"/>
      <c r="M727"/>
      <c r="N727"/>
      <c r="O727"/>
      <c r="P727"/>
      <c r="Q727"/>
      <c r="R727"/>
      <c r="S727"/>
    </row>
    <row r="728" spans="1:19" x14ac:dyDescent="0.25">
      <c r="A728"/>
      <c r="B728"/>
      <c r="C728"/>
      <c r="D728"/>
      <c r="E728"/>
      <c r="F728"/>
      <c r="G728"/>
      <c r="H728"/>
      <c r="I728"/>
      <c r="J728"/>
      <c r="K728"/>
      <c r="L728"/>
      <c r="M728"/>
      <c r="N728"/>
      <c r="O728"/>
      <c r="P728"/>
      <c r="Q728"/>
      <c r="R728"/>
      <c r="S728"/>
    </row>
    <row r="729" spans="1:19" x14ac:dyDescent="0.25">
      <c r="A729"/>
      <c r="B729"/>
      <c r="C729"/>
      <c r="D729"/>
      <c r="E729"/>
      <c r="F729"/>
      <c r="G729"/>
      <c r="H729"/>
      <c r="I729"/>
      <c r="J729"/>
      <c r="K729"/>
      <c r="L729"/>
      <c r="M729"/>
      <c r="N729"/>
      <c r="O729"/>
      <c r="P729"/>
      <c r="Q729"/>
      <c r="R729"/>
      <c r="S729"/>
    </row>
    <row r="730" spans="1:19" x14ac:dyDescent="0.25">
      <c r="A730"/>
      <c r="B730"/>
      <c r="C730"/>
      <c r="D730"/>
      <c r="E730"/>
      <c r="F730"/>
      <c r="G730"/>
      <c r="H730"/>
      <c r="I730"/>
      <c r="J730"/>
      <c r="K730"/>
      <c r="L730"/>
      <c r="M730"/>
      <c r="N730"/>
      <c r="O730"/>
      <c r="P730"/>
      <c r="Q730"/>
      <c r="R730"/>
      <c r="S730"/>
    </row>
    <row r="731" spans="1:19" x14ac:dyDescent="0.25">
      <c r="A731"/>
      <c r="B731"/>
      <c r="C731"/>
      <c r="D731"/>
      <c r="E731"/>
      <c r="F731"/>
      <c r="G731"/>
      <c r="H731"/>
      <c r="I731"/>
      <c r="J731"/>
      <c r="K731"/>
      <c r="L731"/>
      <c r="M731"/>
      <c r="N731"/>
      <c r="O731"/>
      <c r="P731"/>
      <c r="Q731"/>
      <c r="R731"/>
      <c r="S731"/>
    </row>
    <row r="732" spans="1:19" x14ac:dyDescent="0.25">
      <c r="A732"/>
      <c r="B732"/>
      <c r="C732"/>
      <c r="D732"/>
      <c r="E732"/>
      <c r="F732"/>
      <c r="G732"/>
      <c r="H732"/>
      <c r="I732"/>
      <c r="J732"/>
      <c r="K732"/>
      <c r="L732"/>
      <c r="M732"/>
      <c r="N732"/>
      <c r="O732"/>
      <c r="P732"/>
      <c r="Q732"/>
      <c r="R732"/>
      <c r="S732"/>
    </row>
    <row r="733" spans="1:19" x14ac:dyDescent="0.25">
      <c r="A733"/>
      <c r="B733"/>
      <c r="C733"/>
      <c r="D733"/>
      <c r="E733"/>
      <c r="F733"/>
      <c r="G733"/>
      <c r="H733"/>
      <c r="I733"/>
      <c r="J733"/>
      <c r="K733"/>
      <c r="L733"/>
      <c r="M733"/>
      <c r="N733"/>
      <c r="O733"/>
      <c r="P733"/>
      <c r="Q733"/>
      <c r="R733"/>
      <c r="S733"/>
    </row>
    <row r="734" spans="1:19" x14ac:dyDescent="0.25">
      <c r="A734"/>
      <c r="B734"/>
      <c r="C734"/>
      <c r="D734"/>
      <c r="E734"/>
      <c r="F734"/>
      <c r="G734"/>
      <c r="H734"/>
      <c r="I734"/>
      <c r="J734"/>
      <c r="K734"/>
      <c r="L734"/>
      <c r="M734"/>
      <c r="N734"/>
      <c r="O734"/>
      <c r="P734"/>
      <c r="Q734"/>
      <c r="R734"/>
      <c r="S734"/>
    </row>
    <row r="735" spans="1:19" x14ac:dyDescent="0.25">
      <c r="A735"/>
      <c r="B735"/>
      <c r="C735"/>
      <c r="D735"/>
      <c r="E735"/>
      <c r="F735"/>
      <c r="G735"/>
      <c r="H735"/>
      <c r="I735"/>
      <c r="J735"/>
      <c r="K735"/>
      <c r="L735"/>
      <c r="M735"/>
      <c r="N735"/>
      <c r="O735"/>
      <c r="P735"/>
      <c r="Q735"/>
      <c r="R735"/>
      <c r="S735"/>
    </row>
    <row r="736" spans="1:19" x14ac:dyDescent="0.25">
      <c r="A736"/>
      <c r="B736"/>
      <c r="C736"/>
      <c r="D736"/>
      <c r="E736"/>
      <c r="F736"/>
      <c r="G736"/>
      <c r="H736"/>
      <c r="I736"/>
      <c r="J736"/>
      <c r="K736"/>
      <c r="L736"/>
      <c r="M736"/>
      <c r="N736"/>
      <c r="O736"/>
      <c r="P736"/>
      <c r="Q736"/>
      <c r="R736"/>
      <c r="S736"/>
    </row>
    <row r="737" spans="1:19" x14ac:dyDescent="0.25">
      <c r="A737"/>
      <c r="B737"/>
      <c r="C737"/>
      <c r="D737"/>
      <c r="E737"/>
      <c r="F737"/>
      <c r="G737"/>
      <c r="H737"/>
      <c r="I737"/>
      <c r="J737"/>
      <c r="K737"/>
      <c r="L737"/>
      <c r="M737"/>
      <c r="N737"/>
      <c r="O737"/>
      <c r="P737"/>
      <c r="Q737"/>
      <c r="R737"/>
      <c r="S737"/>
    </row>
    <row r="738" spans="1:19" x14ac:dyDescent="0.25">
      <c r="A738"/>
      <c r="B738"/>
      <c r="C738"/>
      <c r="D738"/>
      <c r="E738"/>
      <c r="F738"/>
      <c r="G738"/>
      <c r="H738"/>
      <c r="I738"/>
      <c r="J738"/>
      <c r="K738"/>
      <c r="L738"/>
      <c r="M738"/>
      <c r="N738"/>
      <c r="O738"/>
      <c r="P738"/>
      <c r="Q738"/>
      <c r="R738"/>
      <c r="S738"/>
    </row>
    <row r="739" spans="1:19" x14ac:dyDescent="0.25">
      <c r="A739"/>
      <c r="B739"/>
      <c r="C739"/>
      <c r="D739"/>
      <c r="E739"/>
      <c r="F739"/>
      <c r="G739"/>
      <c r="H739"/>
      <c r="I739"/>
      <c r="J739"/>
      <c r="K739"/>
      <c r="L739"/>
      <c r="M739"/>
      <c r="N739"/>
      <c r="O739"/>
      <c r="P739"/>
      <c r="Q739"/>
      <c r="R739"/>
      <c r="S739"/>
    </row>
    <row r="740" spans="1:19" x14ac:dyDescent="0.25">
      <c r="A740"/>
      <c r="B740"/>
      <c r="C740"/>
      <c r="D740"/>
      <c r="E740"/>
      <c r="F740"/>
      <c r="G740"/>
      <c r="H740"/>
      <c r="I740"/>
      <c r="J740"/>
      <c r="K740"/>
      <c r="L740"/>
      <c r="M740"/>
      <c r="N740"/>
      <c r="O740"/>
      <c r="P740"/>
      <c r="Q740"/>
      <c r="R740"/>
      <c r="S740"/>
    </row>
    <row r="741" spans="1:19" x14ac:dyDescent="0.25">
      <c r="A741"/>
      <c r="B741"/>
      <c r="C741"/>
      <c r="D741"/>
      <c r="E741"/>
      <c r="F741"/>
      <c r="G741"/>
      <c r="H741"/>
      <c r="I741"/>
      <c r="J741"/>
      <c r="K741"/>
      <c r="L741"/>
      <c r="M741"/>
      <c r="N741"/>
      <c r="O741"/>
      <c r="P741"/>
      <c r="Q741"/>
      <c r="R741"/>
      <c r="S741"/>
    </row>
    <row r="742" spans="1:19" x14ac:dyDescent="0.25">
      <c r="A742"/>
      <c r="B742"/>
      <c r="C742"/>
      <c r="D742"/>
      <c r="E742"/>
      <c r="F742"/>
      <c r="G742"/>
      <c r="H742"/>
      <c r="I742"/>
      <c r="J742"/>
      <c r="K742"/>
      <c r="L742"/>
      <c r="M742"/>
      <c r="N742"/>
      <c r="O742"/>
      <c r="P742"/>
      <c r="Q742"/>
      <c r="R742"/>
      <c r="S742"/>
    </row>
    <row r="743" spans="1:19" x14ac:dyDescent="0.25">
      <c r="A743"/>
      <c r="B743"/>
      <c r="C743"/>
      <c r="D743"/>
      <c r="E743"/>
      <c r="F743"/>
      <c r="G743"/>
      <c r="H743"/>
      <c r="I743"/>
      <c r="J743"/>
      <c r="K743"/>
      <c r="L743"/>
      <c r="M743"/>
      <c r="N743"/>
      <c r="O743"/>
      <c r="P743"/>
      <c r="Q743"/>
      <c r="R743"/>
      <c r="S743"/>
    </row>
    <row r="744" spans="1:19" x14ac:dyDescent="0.25">
      <c r="A744"/>
      <c r="B744"/>
      <c r="C744"/>
      <c r="D744"/>
      <c r="E744"/>
      <c r="F744"/>
      <c r="G744"/>
      <c r="H744"/>
      <c r="I744"/>
      <c r="J744"/>
      <c r="K744"/>
      <c r="L744"/>
      <c r="M744"/>
      <c r="N744"/>
      <c r="O744"/>
      <c r="P744"/>
      <c r="Q744"/>
      <c r="R744"/>
      <c r="S744"/>
    </row>
    <row r="745" spans="1:19" x14ac:dyDescent="0.25">
      <c r="A745"/>
      <c r="B745"/>
      <c r="C745"/>
      <c r="D745"/>
      <c r="E745"/>
      <c r="F745"/>
      <c r="G745"/>
      <c r="H745"/>
      <c r="I745"/>
      <c r="J745"/>
      <c r="K745"/>
      <c r="L745"/>
      <c r="M745"/>
      <c r="N745"/>
      <c r="O745"/>
      <c r="P745"/>
      <c r="Q745"/>
      <c r="R745"/>
      <c r="S745"/>
    </row>
    <row r="746" spans="1:19" x14ac:dyDescent="0.25">
      <c r="A746"/>
      <c r="B746"/>
      <c r="C746"/>
      <c r="D746"/>
      <c r="E746"/>
      <c r="F746"/>
      <c r="G746"/>
      <c r="H746"/>
      <c r="I746"/>
      <c r="J746"/>
      <c r="K746"/>
      <c r="L746"/>
      <c r="M746"/>
      <c r="N746"/>
      <c r="O746"/>
      <c r="P746"/>
      <c r="Q746"/>
      <c r="R746"/>
      <c r="S746"/>
    </row>
    <row r="747" spans="1:19" x14ac:dyDescent="0.25">
      <c r="A747"/>
      <c r="B747"/>
      <c r="C747"/>
      <c r="D747"/>
      <c r="E747"/>
      <c r="F747"/>
      <c r="G747"/>
      <c r="H747"/>
      <c r="I747"/>
      <c r="J747"/>
      <c r="K747"/>
      <c r="L747"/>
      <c r="M747"/>
      <c r="N747"/>
      <c r="O747"/>
      <c r="P747"/>
      <c r="Q747"/>
      <c r="R747"/>
      <c r="S747"/>
    </row>
    <row r="748" spans="1:19" x14ac:dyDescent="0.25">
      <c r="A748"/>
      <c r="B748"/>
      <c r="C748"/>
      <c r="D748"/>
      <c r="E748"/>
      <c r="F748"/>
      <c r="G748"/>
      <c r="H748"/>
      <c r="I748"/>
      <c r="J748"/>
      <c r="K748"/>
      <c r="L748"/>
      <c r="M748"/>
      <c r="N748"/>
      <c r="O748"/>
      <c r="P748"/>
      <c r="Q748"/>
      <c r="R748"/>
      <c r="S748"/>
    </row>
    <row r="749" spans="1:19" x14ac:dyDescent="0.25">
      <c r="A749"/>
      <c r="B749"/>
      <c r="C749"/>
      <c r="D749"/>
      <c r="E749"/>
      <c r="F749"/>
      <c r="G749"/>
      <c r="H749"/>
      <c r="I749"/>
      <c r="J749"/>
      <c r="K749"/>
      <c r="L749"/>
      <c r="M749"/>
      <c r="N749"/>
      <c r="O749"/>
      <c r="P749"/>
      <c r="Q749"/>
      <c r="R749"/>
      <c r="S749"/>
    </row>
    <row r="750" spans="1:19" x14ac:dyDescent="0.25">
      <c r="A750"/>
      <c r="B750"/>
      <c r="C750"/>
      <c r="D750"/>
      <c r="E750"/>
      <c r="F750"/>
      <c r="G750"/>
      <c r="H750"/>
      <c r="I750"/>
      <c r="J750"/>
      <c r="K750"/>
      <c r="L750"/>
      <c r="M750"/>
      <c r="N750"/>
      <c r="O750"/>
      <c r="P750"/>
      <c r="Q750"/>
      <c r="R750"/>
      <c r="S750"/>
    </row>
    <row r="751" spans="1:19" x14ac:dyDescent="0.25">
      <c r="A751"/>
      <c r="B751"/>
      <c r="C751"/>
      <c r="D751"/>
      <c r="E751"/>
      <c r="F751"/>
      <c r="G751"/>
      <c r="H751"/>
      <c r="I751"/>
      <c r="J751"/>
      <c r="K751"/>
      <c r="L751"/>
      <c r="M751"/>
      <c r="N751"/>
      <c r="O751"/>
      <c r="P751"/>
      <c r="Q751"/>
      <c r="R751"/>
      <c r="S751"/>
    </row>
    <row r="752" spans="1:19" x14ac:dyDescent="0.25">
      <c r="A752"/>
      <c r="B752"/>
      <c r="C752"/>
      <c r="D752"/>
      <c r="E752"/>
      <c r="F752"/>
      <c r="G752"/>
      <c r="H752"/>
      <c r="I752"/>
      <c r="J752"/>
      <c r="K752"/>
      <c r="L752"/>
      <c r="M752"/>
      <c r="N752"/>
      <c r="O752"/>
      <c r="P752"/>
      <c r="Q752"/>
      <c r="R752"/>
      <c r="S752"/>
    </row>
    <row r="753" spans="1:19" x14ac:dyDescent="0.25">
      <c r="A753"/>
      <c r="B753"/>
      <c r="C753"/>
      <c r="D753"/>
      <c r="E753"/>
      <c r="F753"/>
      <c r="G753"/>
      <c r="H753"/>
      <c r="I753"/>
      <c r="J753"/>
      <c r="K753"/>
      <c r="L753"/>
      <c r="M753"/>
      <c r="N753"/>
      <c r="O753"/>
      <c r="P753"/>
      <c r="Q753"/>
      <c r="R753"/>
      <c r="S753"/>
    </row>
    <row r="754" spans="1:19" x14ac:dyDescent="0.25">
      <c r="A754"/>
      <c r="B754"/>
      <c r="C754"/>
      <c r="D754"/>
      <c r="E754"/>
      <c r="F754"/>
      <c r="G754"/>
      <c r="H754"/>
      <c r="I754"/>
      <c r="J754"/>
      <c r="K754"/>
      <c r="L754"/>
      <c r="M754"/>
      <c r="N754"/>
      <c r="O754"/>
      <c r="P754"/>
      <c r="Q754"/>
      <c r="R754"/>
      <c r="S754"/>
    </row>
    <row r="755" spans="1:19" x14ac:dyDescent="0.25">
      <c r="A755"/>
      <c r="B755"/>
      <c r="C755"/>
      <c r="D755"/>
      <c r="E755"/>
      <c r="F755"/>
      <c r="G755"/>
      <c r="H755"/>
      <c r="I755"/>
      <c r="J755"/>
      <c r="K755"/>
      <c r="L755"/>
      <c r="M755"/>
      <c r="N755"/>
      <c r="O755"/>
      <c r="P755"/>
      <c r="Q755"/>
      <c r="R755"/>
      <c r="S755"/>
    </row>
    <row r="756" spans="1:19" x14ac:dyDescent="0.25">
      <c r="A756"/>
      <c r="B756"/>
      <c r="C756"/>
      <c r="D756"/>
      <c r="E756"/>
      <c r="F756"/>
      <c r="G756"/>
      <c r="H756"/>
      <c r="I756"/>
      <c r="J756"/>
      <c r="K756"/>
      <c r="L756"/>
      <c r="M756"/>
      <c r="N756"/>
      <c r="O756"/>
      <c r="P756"/>
      <c r="Q756"/>
      <c r="R756"/>
      <c r="S756"/>
    </row>
    <row r="757" spans="1:19" x14ac:dyDescent="0.25">
      <c r="A757"/>
      <c r="B757"/>
      <c r="C757"/>
      <c r="D757"/>
      <c r="E757"/>
      <c r="F757"/>
      <c r="G757"/>
      <c r="H757"/>
      <c r="I757"/>
      <c r="J757"/>
      <c r="K757"/>
      <c r="L757"/>
      <c r="M757"/>
      <c r="N757"/>
      <c r="O757"/>
      <c r="P757"/>
      <c r="Q757"/>
      <c r="R757"/>
      <c r="S757"/>
    </row>
    <row r="758" spans="1:19" x14ac:dyDescent="0.25">
      <c r="A758"/>
      <c r="B758"/>
      <c r="C758"/>
      <c r="D758"/>
      <c r="E758"/>
      <c r="F758"/>
      <c r="G758"/>
      <c r="H758"/>
      <c r="I758"/>
      <c r="J758"/>
      <c r="K758"/>
      <c r="L758"/>
      <c r="M758"/>
      <c r="N758"/>
      <c r="O758"/>
      <c r="P758"/>
      <c r="Q758"/>
      <c r="R758"/>
      <c r="S758"/>
    </row>
    <row r="759" spans="1:19" x14ac:dyDescent="0.25">
      <c r="A759"/>
      <c r="B759"/>
      <c r="C759"/>
      <c r="D759"/>
      <c r="E759"/>
      <c r="F759"/>
      <c r="G759"/>
      <c r="H759"/>
      <c r="I759"/>
      <c r="J759"/>
      <c r="K759"/>
      <c r="L759"/>
      <c r="M759"/>
      <c r="N759"/>
      <c r="O759"/>
      <c r="P759"/>
      <c r="Q759"/>
      <c r="R759"/>
      <c r="S759"/>
    </row>
    <row r="760" spans="1:19" x14ac:dyDescent="0.25">
      <c r="A760"/>
      <c r="B760"/>
      <c r="C760"/>
      <c r="D760"/>
      <c r="E760"/>
      <c r="F760"/>
      <c r="G760"/>
      <c r="H760"/>
      <c r="I760"/>
      <c r="J760"/>
      <c r="K760"/>
      <c r="L760"/>
      <c r="M760"/>
      <c r="N760"/>
      <c r="O760"/>
      <c r="P760"/>
      <c r="Q760"/>
      <c r="R760"/>
      <c r="S760"/>
    </row>
    <row r="761" spans="1:19" x14ac:dyDescent="0.25">
      <c r="A761"/>
      <c r="B761"/>
      <c r="C761"/>
      <c r="D761"/>
      <c r="E761"/>
      <c r="F761"/>
      <c r="G761"/>
      <c r="H761"/>
      <c r="I761"/>
      <c r="J761"/>
      <c r="K761"/>
      <c r="L761"/>
      <c r="M761"/>
      <c r="N761"/>
      <c r="O761"/>
      <c r="P761"/>
      <c r="Q761"/>
      <c r="R761"/>
      <c r="S761"/>
    </row>
    <row r="762" spans="1:19" x14ac:dyDescent="0.25">
      <c r="A762"/>
      <c r="B762"/>
      <c r="C762"/>
      <c r="D762"/>
      <c r="E762"/>
      <c r="F762"/>
      <c r="G762"/>
      <c r="H762"/>
      <c r="I762"/>
      <c r="J762"/>
      <c r="K762"/>
      <c r="L762"/>
      <c r="M762"/>
      <c r="N762"/>
      <c r="O762"/>
      <c r="P762"/>
      <c r="Q762"/>
      <c r="R762"/>
      <c r="S762"/>
    </row>
    <row r="763" spans="1:19" x14ac:dyDescent="0.25">
      <c r="A763"/>
      <c r="B763"/>
      <c r="C763"/>
      <c r="D763"/>
      <c r="E763"/>
      <c r="F763"/>
      <c r="G763"/>
      <c r="H763"/>
      <c r="I763"/>
      <c r="J763"/>
      <c r="K763"/>
      <c r="L763"/>
      <c r="M763"/>
      <c r="N763"/>
      <c r="O763"/>
      <c r="P763"/>
      <c r="Q763"/>
      <c r="R763"/>
      <c r="S763"/>
    </row>
    <row r="764" spans="1:19" x14ac:dyDescent="0.25">
      <c r="A764"/>
      <c r="B764"/>
      <c r="C764"/>
      <c r="D764"/>
      <c r="E764"/>
      <c r="F764"/>
      <c r="G764"/>
      <c r="H764"/>
      <c r="I764"/>
      <c r="J764"/>
      <c r="K764"/>
      <c r="L764"/>
      <c r="M764"/>
      <c r="N764"/>
      <c r="O764"/>
      <c r="P764"/>
      <c r="Q764"/>
      <c r="R764"/>
      <c r="S764"/>
    </row>
    <row r="765" spans="1:19" x14ac:dyDescent="0.25">
      <c r="A765"/>
      <c r="B765"/>
      <c r="C765"/>
      <c r="D765"/>
      <c r="E765"/>
      <c r="F765"/>
      <c r="G765"/>
      <c r="H765"/>
      <c r="I765"/>
      <c r="J765"/>
      <c r="K765"/>
      <c r="L765"/>
      <c r="M765"/>
      <c r="N765"/>
      <c r="O765"/>
      <c r="P765"/>
      <c r="Q765"/>
      <c r="R765"/>
      <c r="S765"/>
    </row>
    <row r="766" spans="1:19" x14ac:dyDescent="0.25">
      <c r="A766"/>
      <c r="B766"/>
      <c r="C766"/>
      <c r="D766"/>
      <c r="E766"/>
      <c r="F766"/>
      <c r="G766"/>
      <c r="H766"/>
      <c r="I766"/>
      <c r="J766"/>
      <c r="K766"/>
      <c r="L766"/>
      <c r="M766"/>
      <c r="N766"/>
      <c r="O766"/>
      <c r="P766"/>
      <c r="Q766"/>
      <c r="R766"/>
      <c r="S766"/>
    </row>
    <row r="767" spans="1:19" x14ac:dyDescent="0.25">
      <c r="A767"/>
      <c r="B767"/>
      <c r="C767"/>
      <c r="D767"/>
      <c r="E767"/>
      <c r="F767"/>
      <c r="G767"/>
      <c r="H767"/>
      <c r="I767"/>
      <c r="J767"/>
      <c r="K767"/>
      <c r="L767"/>
      <c r="M767"/>
      <c r="N767"/>
      <c r="O767"/>
      <c r="P767"/>
      <c r="Q767"/>
      <c r="R767"/>
      <c r="S767"/>
    </row>
    <row r="768" spans="1:19" x14ac:dyDescent="0.25">
      <c r="A768"/>
      <c r="B768"/>
      <c r="C768"/>
      <c r="D768"/>
      <c r="E768"/>
      <c r="F768"/>
      <c r="G768"/>
      <c r="H768"/>
      <c r="I768"/>
      <c r="J768"/>
      <c r="K768"/>
      <c r="L768"/>
      <c r="M768"/>
      <c r="N768"/>
      <c r="O768"/>
      <c r="P768"/>
      <c r="Q768"/>
      <c r="R768"/>
      <c r="S768"/>
    </row>
    <row r="769" spans="1:19" x14ac:dyDescent="0.25">
      <c r="A769"/>
      <c r="B769"/>
      <c r="C769"/>
      <c r="D769"/>
      <c r="E769"/>
      <c r="F769"/>
      <c r="G769"/>
      <c r="H769"/>
      <c r="I769"/>
      <c r="J769"/>
      <c r="K769"/>
      <c r="L769"/>
      <c r="M769"/>
      <c r="N769"/>
      <c r="O769"/>
      <c r="P769"/>
      <c r="Q769"/>
      <c r="R769"/>
      <c r="S769"/>
    </row>
    <row r="770" spans="1:19" x14ac:dyDescent="0.25">
      <c r="A770"/>
      <c r="B770"/>
      <c r="C770"/>
      <c r="D770"/>
      <c r="E770"/>
      <c r="F770"/>
      <c r="G770"/>
      <c r="H770"/>
      <c r="I770"/>
      <c r="J770"/>
      <c r="K770"/>
      <c r="L770"/>
      <c r="M770"/>
      <c r="N770"/>
      <c r="O770"/>
      <c r="P770"/>
      <c r="Q770"/>
      <c r="R770"/>
      <c r="S770"/>
    </row>
    <row r="771" spans="1:19" x14ac:dyDescent="0.25">
      <c r="A771"/>
      <c r="B771"/>
      <c r="C771"/>
      <c r="D771"/>
      <c r="E771"/>
      <c r="F771"/>
      <c r="G771"/>
      <c r="H771"/>
      <c r="I771"/>
      <c r="J771"/>
      <c r="K771"/>
      <c r="L771"/>
      <c r="M771"/>
      <c r="N771"/>
      <c r="O771"/>
      <c r="P771"/>
      <c r="Q771"/>
      <c r="R771"/>
      <c r="S771"/>
    </row>
    <row r="772" spans="1:19" x14ac:dyDescent="0.25">
      <c r="A772"/>
      <c r="B772"/>
      <c r="C772"/>
      <c r="D772"/>
      <c r="E772"/>
      <c r="F772"/>
      <c r="G772"/>
      <c r="H772"/>
      <c r="I772"/>
      <c r="J772"/>
      <c r="K772"/>
      <c r="L772"/>
      <c r="M772"/>
      <c r="N772"/>
      <c r="O772"/>
      <c r="P772"/>
      <c r="Q772"/>
      <c r="R772"/>
      <c r="S772"/>
    </row>
    <row r="773" spans="1:19" x14ac:dyDescent="0.25">
      <c r="A773"/>
      <c r="B773"/>
      <c r="C773"/>
      <c r="D773"/>
      <c r="E773"/>
      <c r="F773"/>
      <c r="G773"/>
      <c r="H773"/>
      <c r="I773"/>
      <c r="J773"/>
      <c r="K773"/>
      <c r="L773"/>
      <c r="M773"/>
      <c r="N773"/>
      <c r="O773"/>
      <c r="P773"/>
      <c r="Q773"/>
      <c r="R773"/>
      <c r="S773"/>
    </row>
    <row r="774" spans="1:19" x14ac:dyDescent="0.25">
      <c r="A774"/>
      <c r="B774"/>
      <c r="C774"/>
      <c r="D774"/>
      <c r="E774"/>
      <c r="F774"/>
      <c r="G774"/>
      <c r="H774"/>
      <c r="I774"/>
      <c r="J774"/>
      <c r="K774"/>
      <c r="L774"/>
      <c r="M774"/>
      <c r="N774"/>
      <c r="O774"/>
      <c r="P774"/>
      <c r="Q774"/>
      <c r="R774"/>
      <c r="S774"/>
    </row>
    <row r="775" spans="1:19" x14ac:dyDescent="0.25">
      <c r="A775"/>
      <c r="B775"/>
      <c r="C775"/>
      <c r="D775"/>
      <c r="E775"/>
      <c r="F775"/>
      <c r="G775"/>
      <c r="H775"/>
      <c r="I775"/>
      <c r="J775"/>
      <c r="K775"/>
      <c r="L775"/>
      <c r="M775"/>
      <c r="N775"/>
      <c r="O775"/>
      <c r="P775"/>
      <c r="Q775"/>
      <c r="R775"/>
      <c r="S775"/>
    </row>
    <row r="776" spans="1:19" x14ac:dyDescent="0.25">
      <c r="A776"/>
      <c r="B776"/>
      <c r="C776"/>
      <c r="D776"/>
      <c r="E776"/>
      <c r="F776"/>
      <c r="G776"/>
      <c r="H776"/>
      <c r="I776"/>
      <c r="J776"/>
      <c r="K776"/>
      <c r="L776"/>
      <c r="M776"/>
      <c r="N776"/>
      <c r="O776"/>
      <c r="P776"/>
      <c r="Q776"/>
      <c r="R776"/>
      <c r="S776"/>
    </row>
    <row r="777" spans="1:19" x14ac:dyDescent="0.25">
      <c r="A777"/>
      <c r="B777"/>
      <c r="C777"/>
      <c r="D777"/>
      <c r="E777"/>
      <c r="F777"/>
      <c r="G777"/>
      <c r="H777"/>
      <c r="I777"/>
      <c r="J777"/>
      <c r="K777"/>
      <c r="L777"/>
      <c r="M777"/>
      <c r="N777"/>
      <c r="O777"/>
      <c r="P777"/>
      <c r="Q777"/>
      <c r="R777"/>
      <c r="S777"/>
    </row>
    <row r="778" spans="1:19" x14ac:dyDescent="0.25">
      <c r="A778"/>
      <c r="B778"/>
      <c r="C778"/>
      <c r="D778"/>
      <c r="E778"/>
      <c r="F778"/>
      <c r="G778"/>
      <c r="H778"/>
      <c r="I778"/>
      <c r="J778"/>
      <c r="K778"/>
      <c r="L778"/>
      <c r="M778"/>
      <c r="N778"/>
      <c r="O778"/>
      <c r="P778"/>
      <c r="Q778"/>
      <c r="R778"/>
      <c r="S778"/>
    </row>
    <row r="779" spans="1:19" x14ac:dyDescent="0.25">
      <c r="A779"/>
      <c r="B779"/>
      <c r="C779"/>
      <c r="D779"/>
      <c r="E779"/>
      <c r="F779"/>
      <c r="G779"/>
      <c r="H779"/>
      <c r="I779"/>
      <c r="J779"/>
      <c r="K779"/>
      <c r="L779"/>
      <c r="M779"/>
      <c r="N779"/>
      <c r="O779"/>
      <c r="P779"/>
      <c r="Q779"/>
      <c r="R779"/>
      <c r="S779"/>
    </row>
    <row r="780" spans="1:19" x14ac:dyDescent="0.25">
      <c r="A780"/>
      <c r="B780"/>
      <c r="C780"/>
      <c r="D780"/>
      <c r="E780"/>
      <c r="F780"/>
      <c r="G780"/>
      <c r="H780"/>
      <c r="I780"/>
      <c r="J780"/>
      <c r="K780"/>
      <c r="L780"/>
      <c r="M780"/>
      <c r="N780"/>
      <c r="O780"/>
      <c r="P780"/>
      <c r="Q780"/>
      <c r="R780"/>
      <c r="S780"/>
    </row>
    <row r="781" spans="1:19" x14ac:dyDescent="0.25">
      <c r="A781"/>
      <c r="B781"/>
      <c r="C781"/>
      <c r="D781"/>
      <c r="E781"/>
      <c r="F781"/>
      <c r="G781"/>
      <c r="H781"/>
      <c r="I781"/>
      <c r="J781"/>
      <c r="K781"/>
      <c r="L781"/>
      <c r="M781"/>
      <c r="N781"/>
      <c r="O781"/>
      <c r="P781"/>
      <c r="Q781"/>
      <c r="R781"/>
      <c r="S781"/>
    </row>
    <row r="782" spans="1:19" x14ac:dyDescent="0.25">
      <c r="A782"/>
      <c r="B782"/>
      <c r="C782"/>
      <c r="D782"/>
      <c r="E782"/>
      <c r="F782"/>
      <c r="G782"/>
      <c r="H782"/>
      <c r="I782"/>
      <c r="J782"/>
      <c r="K782"/>
      <c r="L782"/>
      <c r="M782"/>
      <c r="N782"/>
      <c r="O782"/>
      <c r="P782"/>
      <c r="Q782"/>
      <c r="R782"/>
      <c r="S782"/>
    </row>
    <row r="783" spans="1:19" x14ac:dyDescent="0.25">
      <c r="A783"/>
      <c r="B783"/>
      <c r="C783"/>
      <c r="D783"/>
      <c r="E783"/>
      <c r="F783"/>
      <c r="G783"/>
      <c r="H783"/>
      <c r="I783"/>
      <c r="J783"/>
      <c r="K783"/>
      <c r="L783"/>
      <c r="M783"/>
      <c r="N783"/>
      <c r="O783"/>
      <c r="P783"/>
      <c r="Q783"/>
      <c r="R783"/>
      <c r="S783"/>
    </row>
    <row r="784" spans="1:19" x14ac:dyDescent="0.25">
      <c r="A784"/>
      <c r="B784"/>
      <c r="C784"/>
      <c r="D784"/>
      <c r="E784"/>
      <c r="F784"/>
      <c r="G784"/>
      <c r="H784"/>
      <c r="I784"/>
      <c r="J784"/>
      <c r="K784"/>
      <c r="L784"/>
      <c r="M784"/>
      <c r="N784"/>
      <c r="O784"/>
      <c r="P784"/>
      <c r="Q784"/>
      <c r="R784"/>
      <c r="S784"/>
    </row>
    <row r="785" spans="1:19" x14ac:dyDescent="0.25">
      <c r="A785"/>
      <c r="B785"/>
      <c r="C785"/>
      <c r="D785"/>
      <c r="E785"/>
      <c r="F785"/>
      <c r="G785"/>
      <c r="H785"/>
      <c r="I785"/>
      <c r="J785"/>
      <c r="K785"/>
      <c r="L785"/>
      <c r="M785"/>
      <c r="N785"/>
      <c r="O785"/>
      <c r="P785"/>
      <c r="Q785"/>
      <c r="R785"/>
      <c r="S785"/>
    </row>
    <row r="786" spans="1:19" x14ac:dyDescent="0.25">
      <c r="A786"/>
      <c r="B786"/>
      <c r="C786"/>
      <c r="D786"/>
      <c r="E786"/>
      <c r="F786"/>
      <c r="G786"/>
      <c r="H786"/>
      <c r="I786"/>
      <c r="J786"/>
      <c r="K786"/>
      <c r="L786"/>
      <c r="M786"/>
      <c r="N786"/>
      <c r="O786"/>
      <c r="P786"/>
      <c r="Q786"/>
      <c r="R786"/>
      <c r="S786"/>
    </row>
    <row r="787" spans="1:19" x14ac:dyDescent="0.25">
      <c r="A787"/>
      <c r="B787"/>
      <c r="C787"/>
      <c r="D787"/>
      <c r="E787"/>
      <c r="F787"/>
      <c r="G787"/>
      <c r="H787"/>
      <c r="I787"/>
      <c r="J787"/>
      <c r="K787"/>
      <c r="L787"/>
      <c r="M787"/>
      <c r="N787"/>
      <c r="O787"/>
      <c r="P787"/>
      <c r="Q787"/>
      <c r="R787"/>
      <c r="S787"/>
    </row>
    <row r="788" spans="1:19" x14ac:dyDescent="0.25">
      <c r="A788"/>
      <c r="B788"/>
      <c r="C788"/>
      <c r="D788"/>
      <c r="E788"/>
      <c r="F788"/>
      <c r="G788"/>
      <c r="H788"/>
      <c r="I788"/>
      <c r="J788"/>
      <c r="K788"/>
      <c r="L788"/>
      <c r="M788"/>
      <c r="N788"/>
      <c r="O788"/>
      <c r="P788"/>
      <c r="Q788"/>
      <c r="R788"/>
      <c r="S788"/>
    </row>
    <row r="789" spans="1:19" x14ac:dyDescent="0.25">
      <c r="A789"/>
      <c r="B789"/>
      <c r="C789"/>
      <c r="D789"/>
      <c r="E789"/>
      <c r="F789"/>
      <c r="G789"/>
      <c r="H789"/>
      <c r="I789"/>
      <c r="J789"/>
      <c r="K789"/>
      <c r="L789"/>
      <c r="M789"/>
      <c r="N789"/>
      <c r="O789"/>
      <c r="P789"/>
      <c r="Q789"/>
      <c r="R789"/>
      <c r="S789"/>
    </row>
    <row r="790" spans="1:19" x14ac:dyDescent="0.25">
      <c r="A790"/>
      <c r="B790"/>
      <c r="C790"/>
      <c r="D790"/>
      <c r="E790"/>
      <c r="F790"/>
      <c r="G790"/>
      <c r="H790"/>
      <c r="I790"/>
      <c r="J790"/>
      <c r="K790"/>
      <c r="L790"/>
      <c r="M790"/>
      <c r="N790"/>
      <c r="O790"/>
      <c r="P790"/>
      <c r="Q790"/>
      <c r="R790"/>
      <c r="S790"/>
    </row>
    <row r="791" spans="1:19" x14ac:dyDescent="0.25">
      <c r="A791"/>
      <c r="B791"/>
      <c r="C791"/>
      <c r="D791"/>
      <c r="E791"/>
      <c r="F791"/>
      <c r="G791"/>
      <c r="H791"/>
      <c r="I791"/>
      <c r="J791"/>
      <c r="K791"/>
      <c r="L791"/>
      <c r="M791"/>
      <c r="N791"/>
      <c r="O791"/>
      <c r="P791"/>
      <c r="Q791"/>
      <c r="R791"/>
      <c r="S791"/>
    </row>
    <row r="792" spans="1:19" x14ac:dyDescent="0.25">
      <c r="A792"/>
      <c r="B792"/>
      <c r="C792"/>
      <c r="D792"/>
      <c r="E792"/>
      <c r="F792"/>
      <c r="G792"/>
      <c r="H792"/>
      <c r="I792"/>
      <c r="J792"/>
      <c r="K792"/>
      <c r="L792"/>
      <c r="M792"/>
      <c r="N792"/>
      <c r="O792"/>
      <c r="P792"/>
      <c r="Q792"/>
      <c r="R792"/>
      <c r="S792"/>
    </row>
    <row r="793" spans="1:19" x14ac:dyDescent="0.25">
      <c r="A793"/>
      <c r="B793"/>
      <c r="C793"/>
      <c r="D793"/>
      <c r="E793"/>
      <c r="F793"/>
      <c r="G793"/>
      <c r="H793"/>
      <c r="I793"/>
      <c r="J793"/>
      <c r="K793"/>
      <c r="L793"/>
      <c r="M793"/>
      <c r="N793"/>
      <c r="O793"/>
      <c r="P793"/>
      <c r="Q793"/>
      <c r="R793"/>
      <c r="S793"/>
    </row>
    <row r="794" spans="1:19" x14ac:dyDescent="0.25">
      <c r="A794"/>
      <c r="B794"/>
      <c r="C794"/>
      <c r="D794"/>
      <c r="E794"/>
      <c r="F794"/>
      <c r="G794"/>
      <c r="H794"/>
      <c r="I794"/>
      <c r="J794"/>
      <c r="K794"/>
      <c r="L794"/>
      <c r="M794"/>
      <c r="N794"/>
      <c r="O794"/>
      <c r="P794"/>
      <c r="Q794"/>
      <c r="R794"/>
      <c r="S794"/>
    </row>
    <row r="795" spans="1:19" x14ac:dyDescent="0.25">
      <c r="A795"/>
      <c r="B795"/>
      <c r="C795"/>
      <c r="D795"/>
      <c r="E795"/>
      <c r="F795"/>
      <c r="G795"/>
      <c r="H795"/>
      <c r="I795"/>
      <c r="J795"/>
      <c r="K795"/>
      <c r="L795"/>
      <c r="M795"/>
      <c r="N795"/>
      <c r="O795"/>
      <c r="P795"/>
      <c r="Q795"/>
      <c r="R795"/>
      <c r="S795"/>
    </row>
    <row r="796" spans="1:19" x14ac:dyDescent="0.25">
      <c r="A796"/>
      <c r="B796"/>
      <c r="C796"/>
      <c r="D796"/>
      <c r="E796"/>
      <c r="F796"/>
      <c r="G796"/>
      <c r="H796"/>
      <c r="I796"/>
      <c r="J796"/>
      <c r="K796"/>
      <c r="L796"/>
      <c r="M796"/>
      <c r="N796"/>
      <c r="O796"/>
      <c r="P796"/>
      <c r="Q796"/>
      <c r="R796"/>
      <c r="S796"/>
    </row>
    <row r="797" spans="1:19" x14ac:dyDescent="0.25">
      <c r="A797"/>
      <c r="B797"/>
      <c r="C797"/>
      <c r="D797"/>
      <c r="E797"/>
      <c r="F797"/>
      <c r="G797"/>
      <c r="H797"/>
      <c r="I797"/>
      <c r="J797"/>
      <c r="K797"/>
      <c r="L797"/>
      <c r="M797"/>
      <c r="N797"/>
      <c r="O797"/>
      <c r="P797"/>
      <c r="Q797"/>
      <c r="R797"/>
      <c r="S797"/>
    </row>
    <row r="798" spans="1:19" x14ac:dyDescent="0.25">
      <c r="A798"/>
      <c r="B798"/>
      <c r="C798"/>
      <c r="D798"/>
      <c r="E798"/>
      <c r="F798"/>
      <c r="G798"/>
      <c r="H798"/>
      <c r="I798"/>
      <c r="J798"/>
      <c r="K798"/>
      <c r="L798"/>
      <c r="M798"/>
      <c r="N798"/>
      <c r="O798"/>
      <c r="P798"/>
      <c r="Q798"/>
      <c r="R798"/>
      <c r="S798"/>
    </row>
    <row r="799" spans="1:19" x14ac:dyDescent="0.25">
      <c r="A799"/>
      <c r="B799"/>
      <c r="C799"/>
      <c r="D799"/>
      <c r="E799"/>
      <c r="F799"/>
      <c r="G799"/>
      <c r="H799"/>
      <c r="I799"/>
      <c r="J799"/>
      <c r="K799"/>
      <c r="L799"/>
      <c r="M799"/>
      <c r="N799"/>
      <c r="O799"/>
      <c r="P799"/>
      <c r="Q799"/>
      <c r="R799"/>
      <c r="S799"/>
    </row>
    <row r="800" spans="1:19" x14ac:dyDescent="0.25">
      <c r="A800"/>
      <c r="B800"/>
      <c r="C800"/>
      <c r="D800"/>
      <c r="E800"/>
      <c r="F800"/>
      <c r="G800"/>
      <c r="H800"/>
      <c r="I800"/>
      <c r="J800"/>
      <c r="K800"/>
      <c r="L800"/>
      <c r="M800"/>
      <c r="N800"/>
      <c r="O800"/>
      <c r="P800"/>
      <c r="Q800"/>
      <c r="R800"/>
      <c r="S800"/>
    </row>
    <row r="801" spans="1:19" x14ac:dyDescent="0.25">
      <c r="A801"/>
      <c r="B801"/>
      <c r="C801"/>
      <c r="D801"/>
      <c r="E801"/>
      <c r="F801"/>
      <c r="G801"/>
      <c r="H801"/>
      <c r="I801"/>
      <c r="J801"/>
      <c r="K801"/>
      <c r="L801"/>
      <c r="M801"/>
      <c r="N801"/>
      <c r="O801"/>
      <c r="P801"/>
      <c r="Q801"/>
      <c r="R801"/>
      <c r="S801"/>
    </row>
    <row r="802" spans="1:19" x14ac:dyDescent="0.25">
      <c r="A802"/>
      <c r="B802"/>
      <c r="C802"/>
      <c r="D802"/>
      <c r="E802"/>
      <c r="F802"/>
      <c r="G802"/>
      <c r="H802"/>
      <c r="I802"/>
      <c r="J802"/>
      <c r="K802"/>
      <c r="L802"/>
      <c r="M802"/>
      <c r="N802"/>
      <c r="O802"/>
      <c r="P802"/>
      <c r="Q802"/>
      <c r="R802"/>
      <c r="S802"/>
    </row>
    <row r="803" spans="1:19" x14ac:dyDescent="0.25">
      <c r="A803"/>
      <c r="B803"/>
      <c r="C803"/>
      <c r="D803"/>
      <c r="E803"/>
      <c r="F803"/>
      <c r="G803"/>
      <c r="H803"/>
      <c r="I803"/>
      <c r="J803"/>
      <c r="K803"/>
      <c r="L803"/>
      <c r="M803"/>
      <c r="N803"/>
      <c r="O803"/>
      <c r="P803"/>
      <c r="Q803"/>
      <c r="R803"/>
      <c r="S803"/>
    </row>
    <row r="804" spans="1:19" x14ac:dyDescent="0.25">
      <c r="A804"/>
      <c r="B804"/>
      <c r="C804"/>
      <c r="D804"/>
      <c r="E804"/>
      <c r="F804"/>
      <c r="G804"/>
      <c r="H804"/>
      <c r="I804"/>
      <c r="J804"/>
      <c r="K804"/>
      <c r="L804"/>
      <c r="M804"/>
      <c r="N804"/>
      <c r="O804"/>
      <c r="P804"/>
      <c r="Q804"/>
      <c r="R804"/>
      <c r="S804"/>
    </row>
    <row r="805" spans="1:19" x14ac:dyDescent="0.25">
      <c r="A805"/>
      <c r="B805"/>
      <c r="C805"/>
      <c r="D805"/>
      <c r="E805"/>
      <c r="F805"/>
      <c r="G805"/>
      <c r="H805"/>
      <c r="I805"/>
      <c r="J805"/>
      <c r="K805"/>
      <c r="L805"/>
      <c r="M805"/>
      <c r="N805"/>
      <c r="O805"/>
      <c r="P805"/>
      <c r="Q805"/>
      <c r="R805"/>
      <c r="S805"/>
    </row>
    <row r="806" spans="1:19" x14ac:dyDescent="0.25">
      <c r="A806"/>
      <c r="B806"/>
      <c r="C806"/>
      <c r="D806"/>
      <c r="E806"/>
      <c r="F806"/>
      <c r="G806"/>
      <c r="H806"/>
      <c r="I806"/>
      <c r="J806"/>
      <c r="K806"/>
      <c r="L806"/>
      <c r="M806"/>
      <c r="N806"/>
      <c r="O806"/>
      <c r="P806"/>
      <c r="Q806"/>
      <c r="R806"/>
      <c r="S806"/>
    </row>
    <row r="807" spans="1:19" x14ac:dyDescent="0.25">
      <c r="A807"/>
      <c r="B807"/>
      <c r="C807"/>
      <c r="D807"/>
      <c r="E807"/>
      <c r="F807"/>
      <c r="G807"/>
      <c r="H807"/>
      <c r="I807"/>
      <c r="J807"/>
      <c r="K807"/>
      <c r="L807"/>
      <c r="M807"/>
      <c r="N807"/>
      <c r="O807"/>
      <c r="P807"/>
      <c r="Q807"/>
      <c r="R807"/>
      <c r="S807"/>
    </row>
    <row r="808" spans="1:19" x14ac:dyDescent="0.25">
      <c r="A808"/>
      <c r="B808"/>
      <c r="C808"/>
      <c r="D808"/>
      <c r="E808"/>
      <c r="F808"/>
      <c r="G808"/>
      <c r="H808"/>
      <c r="I808"/>
      <c r="J808"/>
      <c r="K808"/>
      <c r="L808"/>
      <c r="M808"/>
      <c r="N808"/>
      <c r="O808"/>
      <c r="P808"/>
      <c r="Q808"/>
      <c r="R808"/>
      <c r="S808"/>
    </row>
    <row r="809" spans="1:19" x14ac:dyDescent="0.25">
      <c r="A809"/>
      <c r="B809"/>
      <c r="C809"/>
      <c r="D809"/>
      <c r="E809"/>
      <c r="F809"/>
      <c r="G809"/>
      <c r="H809"/>
      <c r="I809"/>
      <c r="J809"/>
      <c r="K809"/>
      <c r="L809"/>
      <c r="M809"/>
      <c r="N809"/>
      <c r="O809"/>
      <c r="P809"/>
      <c r="Q809"/>
      <c r="R809"/>
      <c r="S809"/>
    </row>
    <row r="810" spans="1:19" x14ac:dyDescent="0.25">
      <c r="A810"/>
      <c r="B810"/>
      <c r="C810"/>
      <c r="D810"/>
      <c r="E810"/>
      <c r="F810"/>
      <c r="G810"/>
      <c r="H810"/>
      <c r="I810"/>
      <c r="J810"/>
      <c r="K810"/>
      <c r="L810"/>
      <c r="M810"/>
      <c r="N810"/>
      <c r="O810"/>
      <c r="P810"/>
      <c r="Q810"/>
      <c r="R810"/>
      <c r="S810"/>
    </row>
    <row r="811" spans="1:19" x14ac:dyDescent="0.25">
      <c r="A811"/>
      <c r="B811"/>
      <c r="C811"/>
      <c r="D811"/>
      <c r="E811"/>
      <c r="F811"/>
      <c r="G811"/>
      <c r="H811"/>
      <c r="I811"/>
      <c r="J811"/>
      <c r="K811"/>
      <c r="L811"/>
      <c r="M811"/>
      <c r="N811"/>
      <c r="O811"/>
      <c r="P811"/>
      <c r="Q811"/>
      <c r="R811"/>
      <c r="S811"/>
    </row>
    <row r="812" spans="1:19" x14ac:dyDescent="0.25">
      <c r="A812"/>
      <c r="B812"/>
      <c r="C812"/>
      <c r="D812"/>
      <c r="E812"/>
      <c r="F812"/>
      <c r="G812"/>
      <c r="H812"/>
      <c r="I812"/>
      <c r="J812"/>
      <c r="K812"/>
      <c r="L812"/>
      <c r="M812"/>
      <c r="N812"/>
      <c r="O812"/>
      <c r="P812"/>
      <c r="Q812"/>
      <c r="R812"/>
      <c r="S812"/>
    </row>
    <row r="813" spans="1:19" x14ac:dyDescent="0.25">
      <c r="A813"/>
      <c r="B813"/>
      <c r="C813"/>
      <c r="D813"/>
      <c r="E813"/>
      <c r="F813"/>
      <c r="G813"/>
      <c r="H813"/>
      <c r="I813"/>
      <c r="J813"/>
      <c r="K813"/>
      <c r="L813"/>
      <c r="M813"/>
      <c r="N813"/>
      <c r="O813"/>
      <c r="P813"/>
      <c r="Q813"/>
      <c r="R813"/>
      <c r="S813"/>
    </row>
    <row r="814" spans="1:19" x14ac:dyDescent="0.25">
      <c r="A814"/>
      <c r="B814"/>
      <c r="C814"/>
      <c r="D814"/>
      <c r="E814"/>
      <c r="F814"/>
      <c r="G814"/>
      <c r="H814"/>
      <c r="I814"/>
      <c r="J814"/>
      <c r="K814"/>
      <c r="L814"/>
      <c r="M814"/>
      <c r="N814"/>
      <c r="O814"/>
      <c r="P814"/>
      <c r="Q814"/>
      <c r="R814"/>
      <c r="S814"/>
    </row>
    <row r="815" spans="1:19" x14ac:dyDescent="0.25">
      <c r="A815"/>
      <c r="B815"/>
      <c r="C815"/>
      <c r="D815"/>
      <c r="E815"/>
      <c r="F815"/>
      <c r="G815"/>
      <c r="H815"/>
      <c r="I815"/>
      <c r="J815"/>
      <c r="K815"/>
      <c r="L815"/>
      <c r="M815"/>
      <c r="N815"/>
      <c r="O815"/>
      <c r="P815"/>
      <c r="Q815"/>
      <c r="R815"/>
      <c r="S815"/>
    </row>
    <row r="816" spans="1:19" x14ac:dyDescent="0.25">
      <c r="A816"/>
      <c r="B816"/>
      <c r="C816"/>
      <c r="D816"/>
      <c r="E816"/>
      <c r="F816"/>
      <c r="G816"/>
      <c r="H816"/>
      <c r="I816"/>
      <c r="J816"/>
      <c r="K816"/>
      <c r="L816"/>
      <c r="M816"/>
      <c r="N816"/>
      <c r="O816"/>
      <c r="P816"/>
      <c r="Q816"/>
      <c r="R816"/>
      <c r="S816"/>
    </row>
    <row r="817" spans="1:19" x14ac:dyDescent="0.25">
      <c r="A817"/>
      <c r="B817"/>
      <c r="C817"/>
      <c r="D817"/>
      <c r="E817"/>
      <c r="F817"/>
      <c r="G817"/>
      <c r="H817"/>
      <c r="I817"/>
      <c r="J817"/>
      <c r="K817"/>
      <c r="L817"/>
      <c r="M817"/>
      <c r="N817"/>
      <c r="O817"/>
      <c r="P817"/>
      <c r="Q817"/>
      <c r="R817"/>
      <c r="S817"/>
    </row>
    <row r="818" spans="1:19" x14ac:dyDescent="0.25">
      <c r="A818"/>
      <c r="B818"/>
      <c r="C818"/>
      <c r="D818"/>
      <c r="E818"/>
      <c r="F818"/>
      <c r="G818"/>
      <c r="H818"/>
      <c r="I818"/>
      <c r="J818"/>
      <c r="K818"/>
      <c r="L818"/>
      <c r="M818"/>
      <c r="N818"/>
      <c r="O818"/>
      <c r="P818"/>
      <c r="Q818"/>
      <c r="R818"/>
      <c r="S818"/>
    </row>
    <row r="819" spans="1:19" x14ac:dyDescent="0.25">
      <c r="A819"/>
      <c r="B819"/>
      <c r="C819"/>
      <c r="D819"/>
      <c r="E819"/>
      <c r="F819"/>
      <c r="G819"/>
      <c r="H819"/>
      <c r="I819"/>
      <c r="J819"/>
      <c r="K819"/>
      <c r="L819"/>
      <c r="M819"/>
      <c r="N819"/>
      <c r="O819"/>
      <c r="P819"/>
      <c r="Q819"/>
      <c r="R819"/>
      <c r="S819"/>
    </row>
    <row r="820" spans="1:19" x14ac:dyDescent="0.25">
      <c r="A820"/>
      <c r="B820"/>
      <c r="C820"/>
      <c r="D820"/>
      <c r="E820"/>
      <c r="F820"/>
      <c r="G820"/>
      <c r="H820"/>
      <c r="I820"/>
      <c r="J820"/>
      <c r="K820"/>
      <c r="L820"/>
      <c r="M820"/>
      <c r="N820"/>
      <c r="O820"/>
      <c r="P820"/>
      <c r="Q820"/>
      <c r="R820"/>
      <c r="S820"/>
    </row>
    <row r="821" spans="1:19" x14ac:dyDescent="0.25">
      <c r="A821"/>
      <c r="B821"/>
      <c r="C821"/>
      <c r="D821"/>
      <c r="E821"/>
      <c r="F821"/>
      <c r="G821"/>
      <c r="H821"/>
      <c r="I821"/>
      <c r="J821"/>
      <c r="K821"/>
      <c r="L821"/>
      <c r="M821"/>
      <c r="N821"/>
      <c r="O821"/>
      <c r="P821"/>
      <c r="Q821"/>
      <c r="R821"/>
      <c r="S821"/>
    </row>
    <row r="822" spans="1:19" x14ac:dyDescent="0.25">
      <c r="A822"/>
      <c r="B822"/>
      <c r="C822"/>
      <c r="D822"/>
      <c r="E822"/>
      <c r="F822"/>
      <c r="G822"/>
      <c r="H822"/>
      <c r="I822"/>
      <c r="J822"/>
      <c r="K822"/>
      <c r="L822"/>
      <c r="M822"/>
      <c r="N822"/>
      <c r="O822"/>
      <c r="P822"/>
      <c r="Q822"/>
      <c r="R822"/>
      <c r="S822"/>
    </row>
    <row r="823" spans="1:19" x14ac:dyDescent="0.25">
      <c r="A823"/>
      <c r="B823"/>
      <c r="C823"/>
      <c r="D823"/>
      <c r="E823"/>
      <c r="F823"/>
      <c r="G823"/>
      <c r="H823"/>
      <c r="I823"/>
      <c r="J823"/>
      <c r="K823"/>
      <c r="L823"/>
      <c r="M823"/>
      <c r="N823"/>
      <c r="O823"/>
      <c r="P823"/>
      <c r="Q823"/>
      <c r="R823"/>
      <c r="S823"/>
    </row>
    <row r="824" spans="1:19" x14ac:dyDescent="0.25">
      <c r="A824"/>
      <c r="B824"/>
      <c r="C824"/>
      <c r="D824"/>
      <c r="E824"/>
      <c r="F824"/>
      <c r="G824"/>
      <c r="H824"/>
      <c r="I824"/>
      <c r="J824"/>
      <c r="K824"/>
      <c r="L824"/>
      <c r="M824"/>
      <c r="N824"/>
      <c r="O824"/>
      <c r="P824"/>
      <c r="Q824"/>
      <c r="R824"/>
      <c r="S824"/>
    </row>
    <row r="825" spans="1:19" x14ac:dyDescent="0.25">
      <c r="A825"/>
      <c r="B825"/>
      <c r="C825"/>
      <c r="D825"/>
      <c r="E825"/>
      <c r="F825"/>
      <c r="G825"/>
      <c r="H825"/>
      <c r="I825"/>
      <c r="J825"/>
      <c r="K825"/>
      <c r="L825"/>
      <c r="M825"/>
      <c r="N825"/>
      <c r="O825"/>
      <c r="P825"/>
      <c r="Q825"/>
      <c r="R825"/>
      <c r="S825"/>
    </row>
    <row r="826" spans="1:19" x14ac:dyDescent="0.25">
      <c r="A826"/>
      <c r="B826"/>
      <c r="C826"/>
      <c r="D826"/>
      <c r="E826"/>
      <c r="F826"/>
      <c r="G826"/>
      <c r="H826"/>
      <c r="I826"/>
      <c r="J826"/>
      <c r="K826"/>
      <c r="L826"/>
      <c r="M826"/>
      <c r="N826"/>
      <c r="O826"/>
      <c r="P826"/>
      <c r="Q826"/>
      <c r="R826"/>
      <c r="S826"/>
    </row>
    <row r="827" spans="1:19" x14ac:dyDescent="0.25">
      <c r="A827"/>
      <c r="B827"/>
      <c r="C827"/>
      <c r="D827"/>
      <c r="E827"/>
      <c r="F827"/>
      <c r="G827"/>
      <c r="H827"/>
      <c r="I827"/>
      <c r="J827"/>
      <c r="K827"/>
      <c r="L827"/>
      <c r="M827"/>
      <c r="N827"/>
      <c r="O827"/>
      <c r="P827"/>
      <c r="Q827"/>
      <c r="R827"/>
      <c r="S827"/>
    </row>
    <row r="828" spans="1:19" x14ac:dyDescent="0.25">
      <c r="A828"/>
      <c r="B828"/>
      <c r="C828"/>
      <c r="D828"/>
      <c r="E828"/>
      <c r="F828"/>
      <c r="G828"/>
      <c r="H828"/>
      <c r="I828"/>
      <c r="J828"/>
      <c r="K828"/>
      <c r="L828"/>
      <c r="M828"/>
      <c r="N828"/>
      <c r="O828"/>
      <c r="P828"/>
      <c r="Q828"/>
      <c r="R828"/>
      <c r="S828"/>
    </row>
    <row r="829" spans="1:19" x14ac:dyDescent="0.25">
      <c r="A829"/>
      <c r="B829"/>
      <c r="C829"/>
      <c r="D829"/>
      <c r="E829"/>
      <c r="F829"/>
      <c r="G829"/>
      <c r="H829"/>
      <c r="I829"/>
      <c r="J829"/>
      <c r="K829"/>
      <c r="L829"/>
      <c r="M829"/>
      <c r="N829"/>
      <c r="O829"/>
      <c r="P829"/>
      <c r="Q829"/>
      <c r="R829"/>
      <c r="S829"/>
    </row>
    <row r="830" spans="1:19" x14ac:dyDescent="0.25">
      <c r="A830"/>
      <c r="B830"/>
      <c r="C830"/>
      <c r="D830"/>
      <c r="E830"/>
      <c r="F830"/>
      <c r="G830"/>
      <c r="H830"/>
      <c r="I830"/>
      <c r="J830"/>
      <c r="K830"/>
      <c r="L830"/>
      <c r="M830"/>
      <c r="N830"/>
      <c r="O830"/>
      <c r="P830"/>
      <c r="Q830"/>
      <c r="R830"/>
      <c r="S830"/>
    </row>
    <row r="831" spans="1:19" x14ac:dyDescent="0.25">
      <c r="A831"/>
      <c r="B831"/>
      <c r="C831"/>
      <c r="D831"/>
      <c r="E831"/>
      <c r="F831"/>
      <c r="G831"/>
      <c r="H831"/>
      <c r="I831"/>
      <c r="J831"/>
      <c r="K831"/>
      <c r="L831"/>
      <c r="M831"/>
      <c r="N831"/>
      <c r="O831"/>
      <c r="P831"/>
      <c r="Q831"/>
      <c r="R831"/>
      <c r="S831"/>
    </row>
    <row r="832" spans="1:19" x14ac:dyDescent="0.25">
      <c r="A832"/>
      <c r="B832"/>
      <c r="C832"/>
      <c r="D832"/>
      <c r="E832"/>
      <c r="F832"/>
      <c r="G832"/>
      <c r="H832"/>
      <c r="I832"/>
      <c r="J832"/>
      <c r="K832"/>
      <c r="L832"/>
      <c r="M832"/>
      <c r="N832"/>
      <c r="O832"/>
      <c r="P832"/>
      <c r="Q832"/>
      <c r="R832"/>
      <c r="S832"/>
    </row>
    <row r="833" spans="1:19" x14ac:dyDescent="0.25">
      <c r="A833"/>
      <c r="B833"/>
      <c r="C833"/>
      <c r="D833"/>
      <c r="E833"/>
      <c r="F833"/>
      <c r="G833"/>
      <c r="H833"/>
      <c r="I833"/>
      <c r="J833"/>
      <c r="K833"/>
      <c r="L833"/>
      <c r="M833"/>
      <c r="N833"/>
      <c r="O833"/>
      <c r="P833"/>
      <c r="Q833"/>
      <c r="R833"/>
      <c r="S833"/>
    </row>
    <row r="834" spans="1:19" x14ac:dyDescent="0.25">
      <c r="A834"/>
      <c r="B834"/>
      <c r="C834"/>
      <c r="D834"/>
      <c r="E834"/>
      <c r="F834"/>
      <c r="G834"/>
      <c r="H834"/>
      <c r="I834"/>
      <c r="J834"/>
      <c r="K834"/>
      <c r="L834"/>
      <c r="M834"/>
      <c r="N834"/>
      <c r="O834"/>
      <c r="P834"/>
      <c r="Q834"/>
      <c r="R834"/>
      <c r="S834"/>
    </row>
    <row r="835" spans="1:19" x14ac:dyDescent="0.25">
      <c r="A835"/>
      <c r="B835"/>
      <c r="C835"/>
      <c r="D835"/>
      <c r="E835"/>
      <c r="F835"/>
      <c r="G835"/>
      <c r="H835"/>
      <c r="I835"/>
      <c r="J835"/>
      <c r="K835"/>
      <c r="L835"/>
      <c r="M835"/>
      <c r="N835"/>
      <c r="O835"/>
      <c r="P835"/>
      <c r="Q835"/>
      <c r="R835"/>
      <c r="S835"/>
    </row>
    <row r="836" spans="1:19" x14ac:dyDescent="0.25">
      <c r="A836"/>
      <c r="B836"/>
      <c r="C836"/>
      <c r="D836"/>
      <c r="E836"/>
      <c r="F836"/>
      <c r="G836"/>
      <c r="H836"/>
      <c r="I836"/>
      <c r="J836"/>
      <c r="K836"/>
      <c r="L836"/>
      <c r="M836"/>
      <c r="N836"/>
      <c r="O836"/>
      <c r="P836"/>
      <c r="Q836"/>
      <c r="R836"/>
      <c r="S836"/>
    </row>
    <row r="837" spans="1:19" x14ac:dyDescent="0.25">
      <c r="A837"/>
      <c r="B837"/>
      <c r="C837"/>
      <c r="D837"/>
      <c r="E837"/>
      <c r="F837"/>
      <c r="G837"/>
      <c r="H837"/>
      <c r="I837"/>
      <c r="J837"/>
      <c r="K837"/>
      <c r="L837"/>
      <c r="M837"/>
      <c r="N837"/>
      <c r="O837"/>
      <c r="P837"/>
      <c r="Q837"/>
      <c r="R837"/>
      <c r="S837"/>
    </row>
    <row r="838" spans="1:19" x14ac:dyDescent="0.25">
      <c r="A838"/>
      <c r="B838"/>
      <c r="C838"/>
      <c r="D838"/>
      <c r="E838"/>
      <c r="F838"/>
      <c r="G838"/>
      <c r="H838"/>
      <c r="I838"/>
      <c r="J838"/>
      <c r="K838"/>
      <c r="L838"/>
      <c r="M838"/>
      <c r="N838"/>
      <c r="O838"/>
      <c r="P838"/>
      <c r="Q838"/>
      <c r="R838"/>
      <c r="S838"/>
    </row>
    <row r="839" spans="1:19" x14ac:dyDescent="0.25">
      <c r="A839"/>
      <c r="B839"/>
      <c r="C839"/>
      <c r="D839"/>
      <c r="E839"/>
      <c r="F839"/>
      <c r="G839"/>
      <c r="H839"/>
      <c r="I839"/>
      <c r="J839"/>
      <c r="K839"/>
      <c r="L839"/>
      <c r="M839"/>
      <c r="N839"/>
      <c r="O839"/>
      <c r="P839"/>
      <c r="Q839"/>
      <c r="R839"/>
      <c r="S839"/>
    </row>
    <row r="840" spans="1:19" x14ac:dyDescent="0.25">
      <c r="A840"/>
      <c r="B840"/>
      <c r="C840"/>
      <c r="D840"/>
      <c r="E840"/>
      <c r="F840"/>
      <c r="G840"/>
      <c r="H840"/>
      <c r="I840"/>
      <c r="J840"/>
      <c r="K840"/>
      <c r="L840"/>
      <c r="M840"/>
      <c r="N840"/>
      <c r="O840"/>
      <c r="P840"/>
      <c r="Q840"/>
      <c r="R840"/>
      <c r="S840"/>
    </row>
    <row r="841" spans="1:19" x14ac:dyDescent="0.25">
      <c r="A841"/>
      <c r="B841"/>
      <c r="C841"/>
      <c r="D841"/>
      <c r="E841"/>
      <c r="F841"/>
      <c r="G841"/>
      <c r="H841"/>
      <c r="I841"/>
      <c r="J841"/>
      <c r="K841"/>
      <c r="L841"/>
      <c r="M841"/>
      <c r="N841"/>
      <c r="O841"/>
      <c r="P841"/>
      <c r="Q841"/>
      <c r="R841"/>
      <c r="S841"/>
    </row>
    <row r="842" spans="1:19" x14ac:dyDescent="0.25">
      <c r="A842"/>
      <c r="B842"/>
      <c r="C842"/>
      <c r="D842"/>
      <c r="E842"/>
      <c r="F842"/>
      <c r="G842"/>
      <c r="H842"/>
      <c r="I842"/>
      <c r="J842"/>
      <c r="K842"/>
      <c r="L842"/>
      <c r="M842"/>
      <c r="N842"/>
      <c r="O842"/>
      <c r="P842"/>
      <c r="Q842"/>
      <c r="R842"/>
      <c r="S842"/>
    </row>
    <row r="843" spans="1:19" x14ac:dyDescent="0.25">
      <c r="A843"/>
      <c r="B843"/>
      <c r="C843"/>
      <c r="D843"/>
      <c r="E843"/>
      <c r="F843"/>
      <c r="G843"/>
      <c r="H843"/>
      <c r="I843"/>
      <c r="J843"/>
      <c r="K843"/>
      <c r="L843"/>
      <c r="M843"/>
      <c r="N843"/>
      <c r="O843"/>
      <c r="P843"/>
      <c r="Q843"/>
      <c r="R843"/>
      <c r="S843"/>
    </row>
    <row r="844" spans="1:19" x14ac:dyDescent="0.25">
      <c r="A844"/>
      <c r="B844"/>
      <c r="C844"/>
      <c r="D844"/>
      <c r="E844"/>
      <c r="F844"/>
      <c r="G844"/>
      <c r="H844"/>
      <c r="I844"/>
      <c r="J844"/>
      <c r="K844"/>
      <c r="L844"/>
      <c r="M844"/>
      <c r="N844"/>
      <c r="O844"/>
      <c r="P844"/>
      <c r="Q844"/>
      <c r="R844"/>
      <c r="S844"/>
    </row>
    <row r="845" spans="1:19" x14ac:dyDescent="0.25">
      <c r="A845"/>
      <c r="B845"/>
      <c r="C845"/>
      <c r="D845"/>
      <c r="E845"/>
      <c r="F845"/>
      <c r="G845"/>
      <c r="H845"/>
      <c r="I845"/>
      <c r="J845"/>
      <c r="K845"/>
      <c r="L845"/>
      <c r="M845"/>
      <c r="N845"/>
      <c r="O845"/>
      <c r="P845"/>
      <c r="Q845"/>
      <c r="R845"/>
      <c r="S845"/>
    </row>
    <row r="846" spans="1:19" x14ac:dyDescent="0.25">
      <c r="A846"/>
      <c r="B846"/>
      <c r="C846"/>
      <c r="D846"/>
      <c r="E846"/>
      <c r="F846"/>
      <c r="G846"/>
      <c r="H846"/>
      <c r="I846"/>
      <c r="J846"/>
      <c r="K846"/>
      <c r="L846"/>
      <c r="M846"/>
      <c r="N846"/>
      <c r="O846"/>
      <c r="P846"/>
      <c r="Q846"/>
      <c r="R846"/>
      <c r="S846"/>
    </row>
    <row r="847" spans="1:19" x14ac:dyDescent="0.25">
      <c r="A847"/>
      <c r="B847"/>
      <c r="C847"/>
      <c r="D847"/>
      <c r="E847"/>
      <c r="F847"/>
      <c r="G847"/>
      <c r="H847"/>
      <c r="I847"/>
      <c r="J847"/>
      <c r="K847"/>
      <c r="L847"/>
      <c r="M847"/>
      <c r="N847"/>
      <c r="O847"/>
      <c r="P847"/>
      <c r="Q847"/>
      <c r="R847"/>
      <c r="S847"/>
    </row>
    <row r="848" spans="1:19" x14ac:dyDescent="0.25">
      <c r="A848"/>
      <c r="B848"/>
      <c r="C848"/>
      <c r="D848"/>
      <c r="E848"/>
      <c r="F848"/>
      <c r="G848"/>
      <c r="H848"/>
      <c r="I848"/>
      <c r="J848"/>
      <c r="K848"/>
      <c r="L848"/>
      <c r="M848"/>
      <c r="N848"/>
      <c r="O848"/>
      <c r="P848"/>
      <c r="Q848"/>
      <c r="R848"/>
      <c r="S848"/>
    </row>
    <row r="849" spans="1:19" x14ac:dyDescent="0.25">
      <c r="A849"/>
      <c r="B849"/>
      <c r="C849"/>
      <c r="D849"/>
      <c r="E849"/>
      <c r="F849"/>
      <c r="G849"/>
      <c r="H849"/>
      <c r="I849"/>
      <c r="J849"/>
      <c r="K849"/>
      <c r="L849"/>
      <c r="M849"/>
      <c r="N849"/>
      <c r="O849"/>
      <c r="P849"/>
      <c r="Q849"/>
      <c r="R849"/>
      <c r="S849"/>
    </row>
    <row r="850" spans="1:19" x14ac:dyDescent="0.25">
      <c r="A850"/>
      <c r="B850"/>
      <c r="C850"/>
      <c r="D850"/>
      <c r="E850"/>
      <c r="F850"/>
      <c r="G850"/>
      <c r="H850"/>
      <c r="I850"/>
      <c r="J850"/>
      <c r="K850"/>
      <c r="L850"/>
      <c r="M850"/>
      <c r="N850"/>
      <c r="O850"/>
      <c r="P850"/>
      <c r="Q850"/>
      <c r="R850"/>
      <c r="S850"/>
    </row>
    <row r="851" spans="1:19" x14ac:dyDescent="0.25">
      <c r="A851"/>
      <c r="B851"/>
      <c r="C851"/>
      <c r="D851"/>
      <c r="E851"/>
      <c r="F851"/>
      <c r="G851"/>
      <c r="H851"/>
      <c r="I851"/>
      <c r="J851"/>
      <c r="K851"/>
      <c r="L851"/>
      <c r="M851"/>
      <c r="N851"/>
      <c r="O851"/>
      <c r="P851"/>
      <c r="Q851"/>
      <c r="R851"/>
      <c r="S851"/>
    </row>
    <row r="852" spans="1:19" x14ac:dyDescent="0.25">
      <c r="A852"/>
      <c r="B852"/>
      <c r="C852"/>
      <c r="D852"/>
      <c r="E852"/>
      <c r="F852"/>
      <c r="G852"/>
      <c r="H852"/>
      <c r="I852"/>
      <c r="J852"/>
      <c r="K852"/>
      <c r="L852"/>
      <c r="M852"/>
      <c r="N852"/>
      <c r="O852"/>
      <c r="P852"/>
      <c r="Q852"/>
      <c r="R852"/>
      <c r="S852"/>
    </row>
    <row r="853" spans="1:19" x14ac:dyDescent="0.25">
      <c r="A853"/>
      <c r="B853"/>
      <c r="C853"/>
      <c r="D853"/>
      <c r="E853"/>
      <c r="F853"/>
      <c r="G853"/>
      <c r="H853"/>
      <c r="I853"/>
      <c r="J853"/>
      <c r="K853"/>
      <c r="L853"/>
      <c r="M853"/>
      <c r="N853"/>
      <c r="O853"/>
      <c r="P853"/>
      <c r="Q853"/>
      <c r="R853"/>
      <c r="S853"/>
    </row>
    <row r="854" spans="1:19" x14ac:dyDescent="0.25">
      <c r="A854"/>
      <c r="B854"/>
      <c r="C854"/>
      <c r="D854"/>
      <c r="E854"/>
      <c r="F854"/>
      <c r="G854"/>
      <c r="H854"/>
      <c r="I854"/>
      <c r="J854"/>
      <c r="K854"/>
      <c r="L854"/>
      <c r="M854"/>
      <c r="N854"/>
      <c r="O854"/>
      <c r="P854"/>
      <c r="Q854"/>
      <c r="R854"/>
      <c r="S854"/>
    </row>
    <row r="855" spans="1:19" x14ac:dyDescent="0.25">
      <c r="A855"/>
      <c r="B855"/>
      <c r="C855"/>
      <c r="D855"/>
      <c r="E855"/>
      <c r="F855"/>
      <c r="G855"/>
      <c r="H855"/>
      <c r="I855"/>
      <c r="J855"/>
      <c r="K855"/>
      <c r="L855"/>
      <c r="M855"/>
      <c r="N855"/>
      <c r="O855"/>
      <c r="P855"/>
      <c r="Q855"/>
      <c r="R855"/>
      <c r="S855"/>
    </row>
    <row r="856" spans="1:19" x14ac:dyDescent="0.25">
      <c r="A856"/>
      <c r="B856"/>
      <c r="C856"/>
      <c r="D856"/>
      <c r="E856"/>
      <c r="F856"/>
      <c r="G856"/>
      <c r="H856"/>
      <c r="I856"/>
      <c r="J856"/>
      <c r="K856"/>
      <c r="L856"/>
      <c r="M856"/>
      <c r="N856"/>
      <c r="O856"/>
      <c r="P856"/>
      <c r="Q856"/>
      <c r="R856"/>
      <c r="S856"/>
    </row>
    <row r="857" spans="1:19" x14ac:dyDescent="0.25">
      <c r="A857"/>
      <c r="B857"/>
      <c r="C857"/>
      <c r="D857"/>
      <c r="E857"/>
      <c r="F857"/>
      <c r="G857"/>
      <c r="H857"/>
      <c r="I857"/>
      <c r="J857"/>
      <c r="K857"/>
      <c r="L857"/>
      <c r="M857"/>
      <c r="N857"/>
      <c r="O857"/>
      <c r="P857"/>
      <c r="Q857"/>
      <c r="R857"/>
      <c r="S857"/>
    </row>
    <row r="858" spans="1:19" x14ac:dyDescent="0.25">
      <c r="A858"/>
      <c r="B858"/>
      <c r="C858"/>
      <c r="D858"/>
      <c r="E858"/>
      <c r="F858"/>
      <c r="G858"/>
      <c r="H858"/>
      <c r="I858"/>
      <c r="J858"/>
      <c r="K858"/>
      <c r="L858"/>
      <c r="M858"/>
      <c r="N858"/>
      <c r="O858"/>
      <c r="P858"/>
      <c r="Q858"/>
      <c r="R858"/>
      <c r="S858"/>
    </row>
    <row r="859" spans="1:19" x14ac:dyDescent="0.25">
      <c r="A859"/>
      <c r="B859"/>
      <c r="C859"/>
      <c r="D859"/>
      <c r="E859"/>
      <c r="F859"/>
      <c r="G859"/>
      <c r="H859"/>
      <c r="I859"/>
      <c r="J859"/>
      <c r="K859"/>
      <c r="L859"/>
      <c r="M859"/>
      <c r="N859"/>
      <c r="O859"/>
      <c r="P859"/>
      <c r="Q859"/>
      <c r="R859"/>
      <c r="S859"/>
    </row>
    <row r="860" spans="1:19" x14ac:dyDescent="0.25">
      <c r="A860"/>
      <c r="B860"/>
      <c r="C860"/>
      <c r="D860"/>
      <c r="E860"/>
      <c r="F860"/>
      <c r="G860"/>
      <c r="H860"/>
      <c r="I860"/>
      <c r="J860"/>
      <c r="K860"/>
      <c r="L860"/>
      <c r="M860"/>
      <c r="N860"/>
      <c r="O860"/>
      <c r="P860"/>
      <c r="Q860"/>
      <c r="R860"/>
      <c r="S860"/>
    </row>
    <row r="861" spans="1:19" x14ac:dyDescent="0.25">
      <c r="A861"/>
      <c r="B861"/>
      <c r="C861"/>
      <c r="D861"/>
      <c r="E861"/>
      <c r="F861"/>
      <c r="G861"/>
      <c r="H861"/>
      <c r="I861"/>
      <c r="J861"/>
      <c r="K861"/>
      <c r="L861"/>
      <c r="M861"/>
      <c r="N861"/>
      <c r="O861"/>
      <c r="P861"/>
      <c r="Q861"/>
      <c r="R861"/>
      <c r="S861"/>
    </row>
    <row r="862" spans="1:19" x14ac:dyDescent="0.25">
      <c r="A862"/>
      <c r="B862"/>
      <c r="C862"/>
      <c r="D862"/>
      <c r="E862"/>
      <c r="F862"/>
      <c r="G862"/>
      <c r="H862"/>
      <c r="I862"/>
      <c r="J862"/>
      <c r="K862"/>
      <c r="L862"/>
      <c r="M862"/>
      <c r="N862"/>
      <c r="O862"/>
      <c r="P862"/>
      <c r="Q862"/>
      <c r="R862"/>
      <c r="S862"/>
    </row>
    <row r="863" spans="1:19" x14ac:dyDescent="0.25">
      <c r="A863"/>
      <c r="B863"/>
      <c r="C863"/>
      <c r="D863"/>
      <c r="E863"/>
      <c r="F863"/>
      <c r="G863"/>
      <c r="H863"/>
      <c r="I863"/>
      <c r="J863"/>
      <c r="K863"/>
      <c r="L863"/>
      <c r="M863"/>
      <c r="N863"/>
      <c r="O863"/>
      <c r="P863"/>
      <c r="Q863"/>
      <c r="R863"/>
      <c r="S863"/>
    </row>
    <row r="864" spans="1:19" x14ac:dyDescent="0.25">
      <c r="A864"/>
      <c r="B864"/>
      <c r="C864"/>
      <c r="D864"/>
      <c r="E864"/>
      <c r="F864"/>
      <c r="G864"/>
      <c r="H864"/>
      <c r="I864"/>
      <c r="J864"/>
      <c r="K864"/>
      <c r="L864"/>
      <c r="M864"/>
      <c r="N864"/>
      <c r="O864"/>
      <c r="P864"/>
      <c r="Q864"/>
      <c r="R864"/>
      <c r="S864"/>
    </row>
    <row r="865" spans="1:19" x14ac:dyDescent="0.25">
      <c r="A865"/>
      <c r="B865"/>
      <c r="C865"/>
      <c r="D865"/>
      <c r="E865"/>
      <c r="F865"/>
      <c r="G865"/>
      <c r="H865"/>
      <c r="I865"/>
      <c r="J865"/>
      <c r="K865"/>
      <c r="L865"/>
      <c r="M865"/>
      <c r="N865"/>
      <c r="O865"/>
      <c r="P865"/>
      <c r="Q865"/>
      <c r="R865"/>
      <c r="S865"/>
    </row>
    <row r="866" spans="1:19" x14ac:dyDescent="0.25">
      <c r="A866"/>
      <c r="B866"/>
      <c r="C866"/>
      <c r="D866"/>
      <c r="E866"/>
      <c r="F866"/>
      <c r="G866"/>
      <c r="H866"/>
      <c r="I866"/>
      <c r="J866"/>
      <c r="K866"/>
      <c r="L866"/>
      <c r="M866"/>
      <c r="N866"/>
      <c r="O866"/>
      <c r="P866"/>
      <c r="Q866"/>
      <c r="R866"/>
      <c r="S866"/>
    </row>
    <row r="867" spans="1:19" x14ac:dyDescent="0.25">
      <c r="A867"/>
      <c r="B867"/>
      <c r="C867"/>
      <c r="D867"/>
      <c r="E867"/>
      <c r="F867"/>
      <c r="G867"/>
      <c r="H867"/>
      <c r="I867"/>
      <c r="J867"/>
      <c r="K867"/>
      <c r="L867"/>
      <c r="M867"/>
      <c r="N867"/>
      <c r="O867"/>
      <c r="P867"/>
      <c r="Q867"/>
      <c r="R867"/>
      <c r="S867"/>
    </row>
    <row r="868" spans="1:19" x14ac:dyDescent="0.25">
      <c r="A868"/>
      <c r="B868"/>
      <c r="C868"/>
      <c r="D868"/>
      <c r="E868"/>
      <c r="F868"/>
      <c r="G868"/>
      <c r="H868"/>
      <c r="I868"/>
      <c r="J868"/>
      <c r="K868"/>
      <c r="L868"/>
      <c r="M868"/>
      <c r="N868"/>
      <c r="O868"/>
      <c r="P868"/>
      <c r="Q868"/>
      <c r="R868"/>
      <c r="S868"/>
    </row>
    <row r="869" spans="1:19" x14ac:dyDescent="0.25">
      <c r="A869"/>
      <c r="B869"/>
      <c r="C869"/>
      <c r="D869"/>
      <c r="E869"/>
      <c r="F869"/>
      <c r="G869"/>
      <c r="H869"/>
      <c r="I869"/>
      <c r="J869"/>
      <c r="K869"/>
      <c r="L869"/>
      <c r="M869"/>
      <c r="N869"/>
      <c r="O869"/>
      <c r="P869"/>
      <c r="Q869"/>
      <c r="R869"/>
      <c r="S869"/>
    </row>
    <row r="870" spans="1:19" x14ac:dyDescent="0.25">
      <c r="A870"/>
      <c r="B870"/>
      <c r="C870"/>
      <c r="D870"/>
      <c r="E870"/>
      <c r="F870"/>
      <c r="G870"/>
      <c r="H870"/>
      <c r="I870"/>
      <c r="J870"/>
      <c r="K870"/>
      <c r="L870"/>
      <c r="M870"/>
      <c r="N870"/>
      <c r="O870"/>
      <c r="P870"/>
      <c r="Q870"/>
      <c r="R870"/>
      <c r="S870"/>
    </row>
    <row r="871" spans="1:19" x14ac:dyDescent="0.25">
      <c r="A871"/>
      <c r="B871"/>
      <c r="C871"/>
      <c r="D871"/>
      <c r="E871"/>
      <c r="F871"/>
      <c r="G871"/>
      <c r="H871"/>
      <c r="I871"/>
      <c r="J871"/>
      <c r="K871"/>
      <c r="L871"/>
      <c r="M871"/>
      <c r="N871"/>
      <c r="O871"/>
      <c r="P871"/>
      <c r="Q871"/>
      <c r="R871"/>
      <c r="S871"/>
    </row>
    <row r="872" spans="1:19" x14ac:dyDescent="0.25">
      <c r="A872"/>
      <c r="B872"/>
      <c r="C872"/>
      <c r="D872"/>
      <c r="E872"/>
      <c r="F872"/>
      <c r="G872"/>
      <c r="H872"/>
      <c r="I872"/>
      <c r="J872"/>
      <c r="K872"/>
      <c r="L872"/>
      <c r="M872"/>
      <c r="N872"/>
      <c r="O872"/>
      <c r="P872"/>
      <c r="Q872"/>
      <c r="R872"/>
      <c r="S872"/>
    </row>
    <row r="873" spans="1:19" x14ac:dyDescent="0.25">
      <c r="A873"/>
      <c r="B873"/>
      <c r="C873"/>
      <c r="D873"/>
      <c r="E873"/>
      <c r="F873"/>
      <c r="G873"/>
      <c r="H873"/>
      <c r="I873"/>
      <c r="J873"/>
      <c r="K873"/>
      <c r="L873"/>
      <c r="M873"/>
      <c r="N873"/>
      <c r="O873"/>
      <c r="P873"/>
      <c r="Q873"/>
      <c r="R873"/>
      <c r="S873"/>
    </row>
    <row r="874" spans="1:19" x14ac:dyDescent="0.25">
      <c r="A874"/>
      <c r="B874"/>
      <c r="C874"/>
      <c r="D874"/>
      <c r="E874"/>
      <c r="F874"/>
      <c r="G874"/>
      <c r="H874"/>
      <c r="I874"/>
      <c r="J874"/>
      <c r="K874"/>
      <c r="L874"/>
      <c r="M874"/>
      <c r="N874"/>
      <c r="O874"/>
      <c r="P874"/>
      <c r="Q874"/>
      <c r="R874"/>
      <c r="S874"/>
    </row>
    <row r="875" spans="1:19" x14ac:dyDescent="0.25">
      <c r="A875"/>
      <c r="B875"/>
      <c r="C875"/>
      <c r="D875"/>
      <c r="E875"/>
      <c r="F875"/>
      <c r="G875"/>
      <c r="H875"/>
      <c r="I875"/>
      <c r="J875"/>
      <c r="K875"/>
      <c r="L875"/>
      <c r="M875"/>
      <c r="N875"/>
      <c r="O875"/>
      <c r="P875"/>
      <c r="Q875"/>
      <c r="R875"/>
      <c r="S875"/>
    </row>
    <row r="876" spans="1:19" x14ac:dyDescent="0.25">
      <c r="A876"/>
      <c r="B876"/>
      <c r="C876"/>
      <c r="D876"/>
      <c r="E876"/>
      <c r="F876"/>
      <c r="G876"/>
      <c r="H876"/>
      <c r="I876"/>
      <c r="J876"/>
      <c r="K876"/>
      <c r="L876"/>
      <c r="M876"/>
      <c r="N876"/>
      <c r="O876"/>
      <c r="P876"/>
      <c r="Q876"/>
      <c r="R876"/>
      <c r="S876"/>
    </row>
    <row r="877" spans="1:19" x14ac:dyDescent="0.25">
      <c r="A877"/>
      <c r="B877"/>
      <c r="C877"/>
      <c r="D877"/>
      <c r="E877"/>
      <c r="F877"/>
      <c r="G877"/>
      <c r="H877"/>
      <c r="I877"/>
      <c r="J877"/>
      <c r="K877"/>
      <c r="L877"/>
      <c r="M877"/>
      <c r="N877"/>
      <c r="O877"/>
      <c r="P877"/>
      <c r="Q877"/>
      <c r="R877"/>
      <c r="S877"/>
    </row>
    <row r="878" spans="1:19" x14ac:dyDescent="0.25">
      <c r="A878"/>
      <c r="B878"/>
      <c r="C878"/>
      <c r="D878"/>
      <c r="E878"/>
      <c r="F878"/>
      <c r="G878"/>
      <c r="H878"/>
      <c r="I878"/>
      <c r="J878"/>
      <c r="K878"/>
      <c r="L878"/>
      <c r="M878"/>
      <c r="N878"/>
      <c r="O878"/>
      <c r="P878"/>
      <c r="Q878"/>
      <c r="R878"/>
      <c r="S878"/>
    </row>
    <row r="879" spans="1:19" x14ac:dyDescent="0.25">
      <c r="A879"/>
      <c r="B879"/>
      <c r="C879"/>
      <c r="D879"/>
      <c r="E879"/>
      <c r="F879"/>
      <c r="G879"/>
      <c r="H879"/>
      <c r="I879"/>
      <c r="J879"/>
      <c r="K879"/>
      <c r="L879"/>
      <c r="M879"/>
      <c r="N879"/>
      <c r="O879"/>
      <c r="P879"/>
      <c r="Q879"/>
      <c r="R879"/>
      <c r="S879"/>
    </row>
    <row r="880" spans="1:19" x14ac:dyDescent="0.25">
      <c r="A880"/>
      <c r="B880"/>
      <c r="C880"/>
      <c r="D880"/>
      <c r="E880"/>
      <c r="F880"/>
      <c r="G880"/>
      <c r="H880"/>
      <c r="I880"/>
      <c r="J880"/>
      <c r="K880"/>
      <c r="L880"/>
      <c r="M880"/>
      <c r="N880"/>
      <c r="O880"/>
      <c r="P880"/>
      <c r="Q880"/>
      <c r="R880"/>
      <c r="S880"/>
    </row>
    <row r="881" spans="1:19" x14ac:dyDescent="0.25">
      <c r="A881"/>
      <c r="B881"/>
      <c r="C881"/>
      <c r="D881"/>
      <c r="E881"/>
      <c r="F881"/>
      <c r="G881"/>
      <c r="H881"/>
      <c r="I881"/>
      <c r="J881"/>
      <c r="K881"/>
      <c r="L881"/>
      <c r="M881"/>
      <c r="N881"/>
      <c r="O881"/>
      <c r="P881"/>
      <c r="Q881"/>
      <c r="R881"/>
      <c r="S881"/>
    </row>
    <row r="882" spans="1:19" x14ac:dyDescent="0.25">
      <c r="A882"/>
      <c r="B882"/>
      <c r="C882"/>
      <c r="D882"/>
      <c r="E882"/>
      <c r="F882"/>
      <c r="G882"/>
      <c r="H882"/>
      <c r="I882"/>
      <c r="J882"/>
      <c r="K882"/>
      <c r="L882"/>
      <c r="M882"/>
      <c r="N882"/>
      <c r="O882"/>
      <c r="P882"/>
      <c r="Q882"/>
      <c r="R882"/>
      <c r="S882"/>
    </row>
    <row r="883" spans="1:19" x14ac:dyDescent="0.25">
      <c r="A883"/>
      <c r="B883"/>
      <c r="C883"/>
      <c r="D883"/>
      <c r="E883"/>
      <c r="F883"/>
      <c r="G883"/>
      <c r="H883"/>
      <c r="I883"/>
      <c r="J883"/>
      <c r="K883"/>
      <c r="L883"/>
      <c r="M883"/>
      <c r="N883"/>
      <c r="O883"/>
      <c r="P883"/>
      <c r="Q883"/>
      <c r="R883"/>
      <c r="S883"/>
    </row>
    <row r="884" spans="1:19" x14ac:dyDescent="0.25">
      <c r="A884"/>
      <c r="B884"/>
      <c r="C884"/>
      <c r="D884"/>
      <c r="E884"/>
      <c r="F884"/>
      <c r="G884"/>
      <c r="H884"/>
      <c r="I884"/>
      <c r="J884"/>
      <c r="K884"/>
      <c r="L884"/>
      <c r="M884"/>
      <c r="N884"/>
      <c r="O884"/>
      <c r="P884"/>
      <c r="Q884"/>
      <c r="R884"/>
      <c r="S884"/>
    </row>
    <row r="885" spans="1:19" x14ac:dyDescent="0.25">
      <c r="A885"/>
      <c r="B885"/>
      <c r="C885"/>
      <c r="D885"/>
      <c r="E885"/>
      <c r="F885"/>
      <c r="G885"/>
      <c r="H885"/>
      <c r="I885"/>
      <c r="J885"/>
      <c r="K885"/>
      <c r="L885"/>
      <c r="M885"/>
      <c r="N885"/>
      <c r="O885"/>
      <c r="P885"/>
      <c r="Q885"/>
      <c r="R885"/>
      <c r="S885"/>
    </row>
    <row r="886" spans="1:19" x14ac:dyDescent="0.25">
      <c r="A886"/>
      <c r="B886"/>
      <c r="C886"/>
      <c r="D886"/>
      <c r="E886"/>
      <c r="F886"/>
      <c r="G886"/>
      <c r="H886"/>
      <c r="I886"/>
      <c r="J886"/>
      <c r="K886"/>
      <c r="L886"/>
      <c r="M886"/>
      <c r="N886"/>
      <c r="O886"/>
      <c r="P886"/>
      <c r="Q886"/>
      <c r="R886"/>
      <c r="S886"/>
    </row>
    <row r="887" spans="1:19" x14ac:dyDescent="0.25">
      <c r="A887"/>
      <c r="B887"/>
      <c r="C887"/>
      <c r="D887"/>
      <c r="E887"/>
      <c r="F887"/>
      <c r="G887"/>
      <c r="H887"/>
      <c r="I887"/>
      <c r="J887"/>
      <c r="K887"/>
      <c r="L887"/>
      <c r="M887"/>
      <c r="N887"/>
      <c r="O887"/>
      <c r="P887"/>
      <c r="Q887"/>
      <c r="R887"/>
      <c r="S887"/>
    </row>
    <row r="888" spans="1:19" x14ac:dyDescent="0.25">
      <c r="A888"/>
      <c r="B888"/>
      <c r="C888"/>
      <c r="D888"/>
      <c r="E888"/>
      <c r="F888"/>
      <c r="G888"/>
      <c r="H888"/>
      <c r="I888"/>
      <c r="J888"/>
      <c r="K888"/>
      <c r="L888"/>
      <c r="M888"/>
      <c r="N888"/>
      <c r="O888"/>
      <c r="P888"/>
      <c r="Q888"/>
      <c r="R888"/>
      <c r="S888"/>
    </row>
    <row r="889" spans="1:19" x14ac:dyDescent="0.25">
      <c r="A889"/>
      <c r="B889"/>
      <c r="C889"/>
      <c r="D889"/>
      <c r="E889"/>
      <c r="F889"/>
      <c r="G889"/>
      <c r="H889"/>
      <c r="I889"/>
      <c r="J889"/>
      <c r="K889"/>
      <c r="L889"/>
      <c r="M889"/>
      <c r="N889"/>
      <c r="O889"/>
      <c r="P889"/>
      <c r="Q889"/>
      <c r="R889"/>
      <c r="S889"/>
    </row>
    <row r="890" spans="1:19" x14ac:dyDescent="0.25">
      <c r="A890"/>
      <c r="B890"/>
      <c r="C890"/>
      <c r="D890"/>
      <c r="E890"/>
      <c r="F890"/>
      <c r="G890"/>
      <c r="H890"/>
      <c r="I890"/>
      <c r="J890"/>
      <c r="K890"/>
      <c r="L890"/>
      <c r="M890"/>
      <c r="N890"/>
      <c r="O890"/>
      <c r="P890"/>
      <c r="Q890"/>
      <c r="R890"/>
      <c r="S890"/>
    </row>
    <row r="891" spans="1:19" x14ac:dyDescent="0.25">
      <c r="A891"/>
      <c r="B891"/>
      <c r="C891"/>
      <c r="D891"/>
      <c r="E891"/>
      <c r="F891"/>
      <c r="G891"/>
      <c r="H891"/>
      <c r="I891"/>
      <c r="J891"/>
      <c r="K891"/>
      <c r="L891"/>
      <c r="M891"/>
      <c r="N891"/>
      <c r="O891"/>
      <c r="P891"/>
      <c r="Q891"/>
      <c r="R891"/>
      <c r="S891"/>
    </row>
    <row r="892" spans="1:19" x14ac:dyDescent="0.25">
      <c r="A892"/>
      <c r="B892"/>
      <c r="C892"/>
      <c r="D892"/>
      <c r="E892"/>
      <c r="F892"/>
      <c r="G892"/>
      <c r="H892"/>
      <c r="I892"/>
      <c r="J892"/>
      <c r="K892"/>
      <c r="L892"/>
      <c r="M892"/>
      <c r="N892"/>
      <c r="O892"/>
      <c r="P892"/>
      <c r="Q892"/>
      <c r="R892"/>
      <c r="S892"/>
    </row>
    <row r="893" spans="1:19" x14ac:dyDescent="0.25">
      <c r="A893"/>
      <c r="B893"/>
      <c r="C893"/>
      <c r="D893"/>
      <c r="E893"/>
      <c r="F893"/>
      <c r="G893"/>
      <c r="H893"/>
      <c r="I893"/>
      <c r="J893"/>
      <c r="K893"/>
      <c r="L893"/>
      <c r="M893"/>
      <c r="N893"/>
      <c r="O893"/>
      <c r="P893"/>
      <c r="Q893"/>
      <c r="R893"/>
      <c r="S893"/>
    </row>
    <row r="894" spans="1:19" x14ac:dyDescent="0.25">
      <c r="A894"/>
      <c r="B894"/>
      <c r="C894"/>
      <c r="D894"/>
      <c r="E894"/>
      <c r="F894"/>
      <c r="G894"/>
      <c r="H894"/>
      <c r="I894"/>
      <c r="J894"/>
      <c r="K894"/>
      <c r="L894"/>
      <c r="M894"/>
      <c r="N894"/>
      <c r="O894"/>
      <c r="P894"/>
      <c r="Q894"/>
      <c r="R894"/>
      <c r="S894"/>
    </row>
    <row r="895" spans="1:19" x14ac:dyDescent="0.25">
      <c r="A895"/>
      <c r="B895"/>
      <c r="C895"/>
      <c r="D895"/>
      <c r="E895"/>
      <c r="F895"/>
      <c r="G895"/>
      <c r="H895"/>
      <c r="I895"/>
      <c r="J895"/>
      <c r="K895"/>
      <c r="L895"/>
      <c r="M895"/>
      <c r="N895"/>
      <c r="O895"/>
      <c r="P895"/>
      <c r="Q895"/>
      <c r="R895"/>
      <c r="S895"/>
    </row>
    <row r="896" spans="1:19" x14ac:dyDescent="0.25">
      <c r="A896"/>
      <c r="B896"/>
      <c r="C896"/>
      <c r="D896"/>
      <c r="E896"/>
      <c r="F896"/>
      <c r="G896"/>
      <c r="H896"/>
      <c r="I896"/>
      <c r="J896"/>
      <c r="K896"/>
      <c r="L896"/>
      <c r="M896"/>
      <c r="N896"/>
      <c r="O896"/>
      <c r="P896"/>
      <c r="Q896"/>
      <c r="R896"/>
      <c r="S896"/>
    </row>
    <row r="897" spans="1:19" x14ac:dyDescent="0.25">
      <c r="A897"/>
      <c r="B897"/>
      <c r="C897"/>
      <c r="D897"/>
      <c r="E897"/>
      <c r="F897"/>
      <c r="G897"/>
      <c r="H897"/>
      <c r="I897"/>
      <c r="J897"/>
      <c r="K897"/>
      <c r="L897"/>
      <c r="M897"/>
      <c r="N897"/>
      <c r="O897"/>
      <c r="P897"/>
      <c r="Q897"/>
      <c r="R897"/>
      <c r="S897"/>
    </row>
    <row r="898" spans="1:19" x14ac:dyDescent="0.25">
      <c r="A898"/>
      <c r="B898"/>
      <c r="C898"/>
      <c r="D898"/>
      <c r="E898"/>
      <c r="F898"/>
      <c r="G898"/>
      <c r="H898"/>
      <c r="I898"/>
      <c r="J898"/>
      <c r="K898"/>
      <c r="L898"/>
      <c r="M898"/>
      <c r="N898"/>
      <c r="O898"/>
      <c r="P898"/>
      <c r="Q898"/>
      <c r="R898"/>
      <c r="S898"/>
    </row>
    <row r="899" spans="1:19" x14ac:dyDescent="0.25">
      <c r="A899"/>
      <c r="B899"/>
      <c r="C899"/>
      <c r="D899"/>
      <c r="E899"/>
      <c r="F899"/>
      <c r="G899"/>
      <c r="H899"/>
      <c r="I899"/>
      <c r="J899"/>
      <c r="K899"/>
      <c r="L899"/>
      <c r="M899"/>
      <c r="N899"/>
      <c r="O899"/>
      <c r="P899"/>
      <c r="Q899"/>
      <c r="R899"/>
      <c r="S899"/>
    </row>
    <row r="900" spans="1:19" x14ac:dyDescent="0.25">
      <c r="A900"/>
      <c r="B900"/>
      <c r="C900"/>
      <c r="D900"/>
      <c r="E900"/>
      <c r="F900"/>
      <c r="G900"/>
      <c r="H900"/>
      <c r="I900"/>
      <c r="J900"/>
      <c r="K900"/>
      <c r="L900"/>
      <c r="M900"/>
      <c r="N900"/>
      <c r="O900"/>
      <c r="P900"/>
      <c r="Q900"/>
      <c r="R900"/>
      <c r="S900"/>
    </row>
    <row r="901" spans="1:19" x14ac:dyDescent="0.25">
      <c r="A901"/>
      <c r="B901"/>
      <c r="C901"/>
      <c r="D901"/>
      <c r="E901"/>
      <c r="F901"/>
      <c r="G901"/>
      <c r="H901"/>
      <c r="I901"/>
      <c r="J901"/>
      <c r="K901"/>
      <c r="L901"/>
      <c r="M901"/>
      <c r="N901"/>
      <c r="O901"/>
      <c r="P901"/>
      <c r="Q901"/>
      <c r="R901"/>
      <c r="S901"/>
    </row>
    <row r="902" spans="1:19" x14ac:dyDescent="0.25">
      <c r="A902"/>
      <c r="B902"/>
      <c r="C902"/>
      <c r="D902"/>
      <c r="E902"/>
      <c r="F902"/>
      <c r="G902"/>
      <c r="H902"/>
      <c r="I902"/>
      <c r="J902"/>
      <c r="K902"/>
      <c r="L902"/>
      <c r="M902"/>
      <c r="N902"/>
      <c r="O902"/>
      <c r="P902"/>
      <c r="Q902"/>
      <c r="R902"/>
      <c r="S902"/>
    </row>
    <row r="903" spans="1:19" x14ac:dyDescent="0.25">
      <c r="A903"/>
      <c r="B903"/>
      <c r="C903"/>
      <c r="D903"/>
      <c r="E903"/>
      <c r="F903"/>
      <c r="G903"/>
      <c r="H903"/>
      <c r="I903"/>
      <c r="J903"/>
      <c r="K903"/>
      <c r="L903"/>
      <c r="M903"/>
      <c r="N903"/>
      <c r="O903"/>
      <c r="P903"/>
      <c r="Q903"/>
      <c r="R903"/>
      <c r="S903"/>
    </row>
    <row r="904" spans="1:19" x14ac:dyDescent="0.25">
      <c r="A904"/>
      <c r="B904"/>
      <c r="C904"/>
      <c r="D904"/>
      <c r="E904"/>
      <c r="F904"/>
      <c r="G904"/>
      <c r="H904"/>
      <c r="I904"/>
      <c r="J904"/>
      <c r="K904"/>
      <c r="L904"/>
      <c r="M904"/>
      <c r="N904"/>
      <c r="O904"/>
      <c r="P904"/>
      <c r="Q904"/>
      <c r="R904"/>
      <c r="S904"/>
    </row>
    <row r="905" spans="1:19" x14ac:dyDescent="0.25">
      <c r="A905"/>
      <c r="B905"/>
      <c r="C905"/>
      <c r="D905"/>
      <c r="E905"/>
      <c r="F905"/>
      <c r="G905"/>
      <c r="H905"/>
      <c r="I905"/>
      <c r="J905"/>
      <c r="K905"/>
      <c r="L905"/>
      <c r="M905"/>
      <c r="N905"/>
      <c r="O905"/>
      <c r="P905"/>
      <c r="Q905"/>
      <c r="R905"/>
      <c r="S905"/>
    </row>
    <row r="906" spans="1:19" x14ac:dyDescent="0.25">
      <c r="A906"/>
      <c r="B906"/>
      <c r="C906"/>
      <c r="D906"/>
      <c r="E906"/>
      <c r="F906"/>
      <c r="G906"/>
      <c r="H906"/>
      <c r="I906"/>
      <c r="J906"/>
      <c r="K906"/>
      <c r="L906"/>
      <c r="M906"/>
      <c r="N906"/>
      <c r="O906"/>
      <c r="P906"/>
      <c r="Q906"/>
      <c r="R906"/>
      <c r="S906"/>
    </row>
    <row r="907" spans="1:19" x14ac:dyDescent="0.25">
      <c r="A907"/>
      <c r="B907"/>
      <c r="C907"/>
      <c r="D907"/>
      <c r="E907"/>
      <c r="F907"/>
      <c r="G907"/>
      <c r="H907"/>
      <c r="I907"/>
      <c r="J907"/>
      <c r="K907"/>
      <c r="L907"/>
      <c r="M907"/>
      <c r="N907"/>
      <c r="O907"/>
      <c r="P907"/>
      <c r="Q907"/>
      <c r="R907"/>
      <c r="S907"/>
    </row>
    <row r="908" spans="1:19" x14ac:dyDescent="0.25">
      <c r="A908"/>
      <c r="B908"/>
      <c r="C908"/>
      <c r="D908"/>
      <c r="E908"/>
      <c r="F908"/>
      <c r="G908"/>
      <c r="H908"/>
      <c r="I908"/>
      <c r="J908"/>
      <c r="K908"/>
      <c r="L908"/>
      <c r="M908"/>
      <c r="N908"/>
      <c r="O908"/>
      <c r="P908"/>
      <c r="Q908"/>
      <c r="R908"/>
      <c r="S908"/>
    </row>
    <row r="909" spans="1:19" x14ac:dyDescent="0.25">
      <c r="A909"/>
      <c r="B909"/>
      <c r="C909"/>
      <c r="D909"/>
      <c r="E909"/>
      <c r="F909"/>
      <c r="G909"/>
      <c r="H909"/>
      <c r="I909"/>
      <c r="J909"/>
      <c r="K909"/>
      <c r="L909"/>
      <c r="M909"/>
      <c r="N909"/>
      <c r="O909"/>
      <c r="P909"/>
      <c r="Q909"/>
      <c r="R909"/>
      <c r="S909"/>
    </row>
    <row r="910" spans="1:19" x14ac:dyDescent="0.25">
      <c r="A910"/>
      <c r="B910"/>
      <c r="C910"/>
      <c r="D910"/>
      <c r="E910"/>
      <c r="F910"/>
      <c r="G910"/>
      <c r="H910"/>
      <c r="I910"/>
      <c r="J910"/>
      <c r="K910"/>
      <c r="L910"/>
      <c r="M910"/>
      <c r="N910"/>
      <c r="O910"/>
      <c r="P910"/>
      <c r="Q910"/>
      <c r="R910"/>
      <c r="S910"/>
    </row>
    <row r="911" spans="1:19" x14ac:dyDescent="0.25">
      <c r="A911"/>
      <c r="B911"/>
      <c r="C911"/>
      <c r="D911"/>
      <c r="E911"/>
      <c r="F911"/>
      <c r="G911"/>
      <c r="H911"/>
      <c r="I911"/>
      <c r="J911"/>
      <c r="K911"/>
      <c r="L911"/>
      <c r="M911"/>
      <c r="N911"/>
      <c r="O911"/>
      <c r="P911"/>
      <c r="Q911"/>
      <c r="R911"/>
      <c r="S911"/>
    </row>
    <row r="912" spans="1:19" x14ac:dyDescent="0.25">
      <c r="A912"/>
      <c r="B912"/>
      <c r="C912"/>
      <c r="D912"/>
      <c r="E912"/>
      <c r="F912"/>
      <c r="G912"/>
      <c r="H912"/>
      <c r="I912"/>
      <c r="J912"/>
      <c r="K912"/>
      <c r="L912"/>
      <c r="M912"/>
      <c r="N912"/>
      <c r="O912"/>
      <c r="P912"/>
      <c r="Q912"/>
      <c r="R912"/>
      <c r="S912"/>
    </row>
    <row r="913" spans="1:19" x14ac:dyDescent="0.25">
      <c r="A913"/>
      <c r="B913"/>
      <c r="C913"/>
      <c r="D913"/>
      <c r="E913"/>
      <c r="F913"/>
      <c r="G913"/>
      <c r="H913"/>
      <c r="I913"/>
      <c r="J913"/>
      <c r="K913"/>
      <c r="L913"/>
      <c r="M913"/>
      <c r="N913"/>
      <c r="O913"/>
      <c r="P913"/>
      <c r="Q913"/>
      <c r="R913"/>
      <c r="S913"/>
    </row>
    <row r="914" spans="1:19" x14ac:dyDescent="0.25">
      <c r="A914"/>
      <c r="B914"/>
      <c r="C914"/>
      <c r="D914"/>
      <c r="E914"/>
      <c r="F914"/>
      <c r="G914"/>
      <c r="H914"/>
      <c r="I914"/>
      <c r="J914"/>
      <c r="K914"/>
      <c r="L914"/>
      <c r="M914"/>
      <c r="N914"/>
      <c r="O914"/>
      <c r="P914"/>
      <c r="Q914"/>
      <c r="R914"/>
      <c r="S914"/>
    </row>
    <row r="915" spans="1:19" x14ac:dyDescent="0.25">
      <c r="A915"/>
      <c r="B915"/>
      <c r="C915"/>
      <c r="D915"/>
      <c r="E915"/>
      <c r="F915"/>
      <c r="G915"/>
      <c r="H915"/>
      <c r="I915"/>
      <c r="J915"/>
      <c r="K915"/>
      <c r="L915"/>
      <c r="M915"/>
      <c r="N915"/>
      <c r="O915"/>
      <c r="P915"/>
      <c r="Q915"/>
      <c r="R915"/>
      <c r="S915"/>
    </row>
    <row r="916" spans="1:19" x14ac:dyDescent="0.25">
      <c r="A916"/>
      <c r="B916"/>
      <c r="C916"/>
      <c r="D916"/>
      <c r="E916"/>
      <c r="F916"/>
      <c r="G916"/>
      <c r="H916"/>
      <c r="I916"/>
      <c r="J916"/>
      <c r="K916"/>
      <c r="L916"/>
      <c r="M916"/>
      <c r="N916"/>
      <c r="O916"/>
      <c r="P916"/>
      <c r="Q916"/>
      <c r="R916"/>
      <c r="S916"/>
    </row>
    <row r="917" spans="1:19" x14ac:dyDescent="0.25">
      <c r="A917"/>
      <c r="B917"/>
      <c r="C917"/>
      <c r="D917"/>
      <c r="E917"/>
      <c r="F917"/>
      <c r="G917"/>
      <c r="H917"/>
      <c r="I917"/>
      <c r="J917"/>
      <c r="K917"/>
      <c r="L917"/>
      <c r="M917"/>
      <c r="N917"/>
      <c r="O917"/>
      <c r="P917"/>
      <c r="Q917"/>
      <c r="R917"/>
      <c r="S917"/>
    </row>
    <row r="918" spans="1:19" x14ac:dyDescent="0.25">
      <c r="A918"/>
      <c r="B918"/>
      <c r="C918"/>
      <c r="D918"/>
      <c r="E918"/>
      <c r="F918"/>
      <c r="G918"/>
      <c r="H918"/>
      <c r="I918"/>
      <c r="J918"/>
      <c r="K918"/>
      <c r="L918"/>
      <c r="M918"/>
      <c r="N918"/>
      <c r="O918"/>
      <c r="P918"/>
      <c r="Q918"/>
      <c r="R918"/>
      <c r="S918"/>
    </row>
    <row r="919" spans="1:19" x14ac:dyDescent="0.25">
      <c r="A919"/>
      <c r="B919"/>
      <c r="C919"/>
      <c r="D919"/>
      <c r="E919"/>
      <c r="F919"/>
      <c r="G919"/>
      <c r="H919"/>
      <c r="I919"/>
      <c r="J919"/>
      <c r="K919"/>
      <c r="L919"/>
      <c r="M919"/>
      <c r="N919"/>
      <c r="O919"/>
      <c r="P919"/>
      <c r="Q919"/>
      <c r="R919"/>
      <c r="S919"/>
    </row>
    <row r="920" spans="1:19" x14ac:dyDescent="0.25">
      <c r="A920"/>
      <c r="B920"/>
      <c r="C920"/>
      <c r="D920"/>
      <c r="E920"/>
      <c r="F920"/>
      <c r="G920"/>
      <c r="H920"/>
      <c r="I920"/>
      <c r="J920"/>
      <c r="K920"/>
      <c r="L920"/>
      <c r="M920"/>
      <c r="N920"/>
      <c r="O920"/>
      <c r="P920"/>
      <c r="Q920"/>
      <c r="R920"/>
      <c r="S920"/>
    </row>
    <row r="921" spans="1:19" x14ac:dyDescent="0.25">
      <c r="A921"/>
      <c r="B921"/>
      <c r="C921"/>
      <c r="D921"/>
      <c r="E921"/>
      <c r="F921"/>
      <c r="G921"/>
      <c r="H921"/>
      <c r="I921"/>
      <c r="J921"/>
      <c r="K921"/>
      <c r="L921"/>
      <c r="M921"/>
      <c r="N921"/>
      <c r="O921"/>
      <c r="P921"/>
      <c r="Q921"/>
      <c r="R921"/>
      <c r="S921"/>
    </row>
    <row r="922" spans="1:19" x14ac:dyDescent="0.25">
      <c r="A922"/>
      <c r="B922"/>
      <c r="C922"/>
      <c r="D922"/>
      <c r="E922"/>
      <c r="F922"/>
      <c r="G922"/>
      <c r="H922"/>
      <c r="I922"/>
      <c r="J922"/>
      <c r="K922"/>
      <c r="L922"/>
      <c r="M922"/>
      <c r="N922"/>
      <c r="O922"/>
      <c r="P922"/>
      <c r="Q922"/>
      <c r="R922"/>
      <c r="S922"/>
    </row>
    <row r="923" spans="1:19" x14ac:dyDescent="0.25">
      <c r="A923"/>
      <c r="B923"/>
      <c r="C923"/>
      <c r="D923"/>
      <c r="E923"/>
      <c r="F923"/>
      <c r="G923"/>
      <c r="H923"/>
      <c r="I923"/>
      <c r="J923"/>
      <c r="K923"/>
      <c r="L923"/>
      <c r="M923"/>
      <c r="N923"/>
      <c r="O923"/>
      <c r="P923"/>
      <c r="Q923"/>
      <c r="R923"/>
      <c r="S923"/>
    </row>
    <row r="924" spans="1:19" x14ac:dyDescent="0.25">
      <c r="A924"/>
      <c r="B924"/>
      <c r="C924"/>
      <c r="D924"/>
      <c r="E924"/>
      <c r="F924"/>
      <c r="G924"/>
      <c r="H924"/>
      <c r="I924"/>
      <c r="J924"/>
      <c r="K924"/>
      <c r="L924"/>
      <c r="M924"/>
      <c r="N924"/>
      <c r="O924"/>
      <c r="P924"/>
      <c r="Q924"/>
      <c r="R924"/>
      <c r="S924"/>
    </row>
    <row r="925" spans="1:19" x14ac:dyDescent="0.25">
      <c r="A925"/>
      <c r="B925"/>
      <c r="C925"/>
      <c r="D925"/>
      <c r="E925"/>
      <c r="F925"/>
      <c r="G925"/>
      <c r="H925"/>
      <c r="I925"/>
      <c r="J925"/>
      <c r="K925"/>
      <c r="L925"/>
      <c r="M925"/>
      <c r="N925"/>
      <c r="O925"/>
      <c r="P925"/>
      <c r="Q925"/>
      <c r="R925"/>
      <c r="S925"/>
    </row>
    <row r="926" spans="1:19" x14ac:dyDescent="0.25">
      <c r="A926"/>
      <c r="B926"/>
      <c r="C926"/>
      <c r="D926"/>
      <c r="E926"/>
      <c r="F926"/>
      <c r="G926"/>
      <c r="H926"/>
      <c r="I926"/>
      <c r="J926"/>
      <c r="K926"/>
      <c r="L926"/>
      <c r="M926"/>
      <c r="N926"/>
      <c r="O926"/>
      <c r="P926"/>
      <c r="Q926"/>
      <c r="R926"/>
      <c r="S926"/>
    </row>
    <row r="927" spans="1:19" x14ac:dyDescent="0.25">
      <c r="A927"/>
      <c r="B927"/>
      <c r="C927"/>
      <c r="D927"/>
      <c r="E927"/>
      <c r="F927"/>
      <c r="G927"/>
      <c r="H927"/>
      <c r="I927"/>
      <c r="J927"/>
      <c r="K927"/>
      <c r="L927"/>
      <c r="M927"/>
      <c r="N927"/>
      <c r="O927"/>
      <c r="P927"/>
      <c r="Q927"/>
      <c r="R927"/>
      <c r="S927"/>
    </row>
    <row r="928" spans="1:19" x14ac:dyDescent="0.25">
      <c r="A928"/>
      <c r="B928"/>
      <c r="C928"/>
      <c r="D928"/>
      <c r="E928"/>
      <c r="F928"/>
      <c r="G928"/>
      <c r="H928"/>
      <c r="I928"/>
      <c r="J928"/>
      <c r="K928"/>
      <c r="L928"/>
      <c r="M928"/>
      <c r="N928"/>
      <c r="O928"/>
      <c r="P928"/>
      <c r="Q928"/>
      <c r="R928"/>
      <c r="S928"/>
    </row>
    <row r="929" spans="1:19" x14ac:dyDescent="0.25">
      <c r="A929"/>
      <c r="B929"/>
      <c r="C929"/>
      <c r="D929"/>
      <c r="E929"/>
      <c r="F929"/>
      <c r="G929"/>
      <c r="H929"/>
      <c r="I929"/>
      <c r="J929"/>
      <c r="K929"/>
      <c r="L929"/>
      <c r="M929"/>
      <c r="N929"/>
      <c r="O929"/>
      <c r="P929"/>
      <c r="Q929"/>
      <c r="R929"/>
      <c r="S929"/>
    </row>
    <row r="930" spans="1:19" x14ac:dyDescent="0.25">
      <c r="A930"/>
      <c r="B930"/>
      <c r="C930"/>
      <c r="D930"/>
      <c r="E930"/>
      <c r="F930"/>
      <c r="G930"/>
      <c r="H930"/>
      <c r="I930"/>
      <c r="J930"/>
      <c r="K930"/>
      <c r="L930"/>
      <c r="M930"/>
      <c r="N930"/>
      <c r="O930"/>
      <c r="P930"/>
      <c r="Q930"/>
      <c r="R930"/>
      <c r="S930"/>
    </row>
    <row r="931" spans="1:19" x14ac:dyDescent="0.25">
      <c r="A931"/>
      <c r="B931"/>
      <c r="C931"/>
      <c r="D931"/>
      <c r="E931"/>
      <c r="F931"/>
      <c r="G931"/>
      <c r="H931"/>
      <c r="I931"/>
      <c r="J931"/>
      <c r="K931"/>
      <c r="L931"/>
      <c r="M931"/>
      <c r="N931"/>
      <c r="O931"/>
      <c r="P931"/>
      <c r="Q931"/>
      <c r="R931"/>
      <c r="S931"/>
    </row>
    <row r="932" spans="1:19" x14ac:dyDescent="0.25">
      <c r="A932"/>
      <c r="B932"/>
      <c r="C932"/>
      <c r="D932"/>
      <c r="E932"/>
      <c r="F932"/>
      <c r="G932"/>
      <c r="H932"/>
      <c r="I932"/>
      <c r="J932"/>
      <c r="K932"/>
      <c r="L932"/>
      <c r="M932"/>
      <c r="N932"/>
      <c r="O932"/>
      <c r="P932"/>
      <c r="Q932"/>
      <c r="R932"/>
      <c r="S932"/>
    </row>
    <row r="933" spans="1:19" x14ac:dyDescent="0.25">
      <c r="A933"/>
      <c r="B933"/>
      <c r="C933"/>
      <c r="D933"/>
      <c r="E933"/>
      <c r="F933"/>
      <c r="G933"/>
      <c r="H933"/>
      <c r="I933"/>
      <c r="J933"/>
      <c r="K933"/>
      <c r="L933"/>
      <c r="M933"/>
      <c r="N933"/>
      <c r="O933"/>
      <c r="P933"/>
      <c r="Q933"/>
      <c r="R933"/>
      <c r="S933"/>
    </row>
    <row r="934" spans="1:19" x14ac:dyDescent="0.25">
      <c r="A934"/>
      <c r="B934"/>
      <c r="C934"/>
      <c r="D934"/>
      <c r="E934"/>
      <c r="F934"/>
      <c r="G934"/>
      <c r="H934"/>
      <c r="I934"/>
      <c r="J934"/>
      <c r="K934"/>
      <c r="L934"/>
      <c r="M934"/>
      <c r="N934"/>
      <c r="O934"/>
      <c r="P934"/>
      <c r="Q934"/>
      <c r="R934"/>
      <c r="S934"/>
    </row>
    <row r="935" spans="1:19" x14ac:dyDescent="0.25">
      <c r="A935"/>
      <c r="B935"/>
      <c r="C935"/>
      <c r="D935"/>
      <c r="E935"/>
      <c r="F935"/>
      <c r="G935"/>
      <c r="H935"/>
      <c r="I935"/>
      <c r="J935"/>
      <c r="K935"/>
      <c r="L935"/>
      <c r="M935"/>
      <c r="N935"/>
      <c r="O935"/>
      <c r="P935"/>
      <c r="Q935"/>
      <c r="R935"/>
      <c r="S935"/>
    </row>
    <row r="936" spans="1:19" x14ac:dyDescent="0.25">
      <c r="A936"/>
      <c r="B936"/>
      <c r="C936"/>
      <c r="D936"/>
      <c r="E936"/>
      <c r="F936"/>
      <c r="G936"/>
      <c r="H936"/>
      <c r="I936"/>
      <c r="J936"/>
      <c r="K936"/>
      <c r="L936"/>
      <c r="M936"/>
      <c r="N936"/>
      <c r="O936"/>
      <c r="P936"/>
      <c r="Q936"/>
      <c r="R936"/>
      <c r="S936"/>
    </row>
    <row r="937" spans="1:19" x14ac:dyDescent="0.25">
      <c r="A937"/>
      <c r="B937"/>
      <c r="C937"/>
      <c r="D937"/>
      <c r="E937"/>
      <c r="F937"/>
      <c r="G937"/>
      <c r="H937"/>
      <c r="I937"/>
      <c r="J937"/>
      <c r="K937"/>
      <c r="L937"/>
      <c r="M937"/>
      <c r="N937"/>
      <c r="O937"/>
      <c r="P937"/>
      <c r="Q937"/>
      <c r="R937"/>
      <c r="S937"/>
    </row>
    <row r="938" spans="1:19" x14ac:dyDescent="0.25">
      <c r="A938"/>
      <c r="B938"/>
      <c r="C938"/>
      <c r="D938"/>
      <c r="E938"/>
      <c r="F938"/>
      <c r="G938"/>
      <c r="H938"/>
      <c r="I938"/>
      <c r="J938"/>
      <c r="K938"/>
      <c r="L938"/>
      <c r="M938"/>
      <c r="N938"/>
      <c r="O938"/>
      <c r="P938"/>
      <c r="Q938"/>
      <c r="R938"/>
      <c r="S938"/>
    </row>
    <row r="939" spans="1:19" x14ac:dyDescent="0.25">
      <c r="A939"/>
      <c r="B939"/>
      <c r="C939"/>
      <c r="D939"/>
      <c r="E939"/>
      <c r="F939"/>
      <c r="G939"/>
      <c r="H939"/>
      <c r="I939"/>
      <c r="J939"/>
      <c r="K939"/>
      <c r="L939"/>
      <c r="M939"/>
      <c r="N939"/>
      <c r="O939"/>
      <c r="P939"/>
      <c r="Q939"/>
      <c r="R939"/>
      <c r="S939"/>
    </row>
    <row r="940" spans="1:19" x14ac:dyDescent="0.25">
      <c r="A940"/>
      <c r="B940"/>
      <c r="C940"/>
      <c r="D940"/>
      <c r="E940"/>
      <c r="F940"/>
      <c r="G940"/>
      <c r="H940"/>
      <c r="I940"/>
      <c r="J940"/>
      <c r="K940"/>
      <c r="L940"/>
      <c r="M940"/>
      <c r="N940"/>
      <c r="O940"/>
      <c r="P940"/>
      <c r="Q940"/>
      <c r="R940"/>
      <c r="S940"/>
    </row>
    <row r="941" spans="1:19" x14ac:dyDescent="0.25">
      <c r="A941"/>
      <c r="B941"/>
      <c r="C941"/>
      <c r="D941"/>
      <c r="E941"/>
      <c r="F941"/>
      <c r="G941"/>
      <c r="H941"/>
      <c r="I941"/>
      <c r="J941"/>
      <c r="K941"/>
      <c r="L941"/>
      <c r="M941"/>
      <c r="N941"/>
      <c r="O941"/>
      <c r="P941"/>
      <c r="Q941"/>
      <c r="R941"/>
      <c r="S941"/>
    </row>
    <row r="942" spans="1:19" x14ac:dyDescent="0.25">
      <c r="A942"/>
      <c r="B942"/>
      <c r="C942"/>
      <c r="D942"/>
      <c r="E942"/>
      <c r="F942"/>
      <c r="G942"/>
      <c r="H942"/>
      <c r="I942"/>
      <c r="J942"/>
      <c r="K942"/>
      <c r="L942"/>
      <c r="M942"/>
      <c r="N942"/>
      <c r="O942"/>
      <c r="P942"/>
      <c r="Q942"/>
      <c r="R942"/>
      <c r="S942"/>
    </row>
    <row r="943" spans="1:19" x14ac:dyDescent="0.25">
      <c r="A943"/>
      <c r="B943"/>
      <c r="C943"/>
      <c r="D943"/>
      <c r="E943"/>
      <c r="F943"/>
      <c r="G943"/>
      <c r="H943"/>
      <c r="I943"/>
      <c r="J943"/>
      <c r="K943"/>
      <c r="L943"/>
      <c r="M943"/>
      <c r="N943"/>
      <c r="O943"/>
      <c r="P943"/>
      <c r="Q943"/>
      <c r="R943"/>
      <c r="S943"/>
    </row>
    <row r="944" spans="1:19" x14ac:dyDescent="0.25">
      <c r="A944"/>
      <c r="B944"/>
      <c r="C944"/>
      <c r="D944"/>
      <c r="E944"/>
      <c r="F944"/>
      <c r="G944"/>
      <c r="H944"/>
      <c r="I944"/>
      <c r="J944"/>
      <c r="K944"/>
      <c r="L944"/>
      <c r="M944"/>
      <c r="N944"/>
      <c r="O944"/>
      <c r="P944"/>
      <c r="Q944"/>
      <c r="R944"/>
      <c r="S944"/>
    </row>
    <row r="945" spans="1:19" x14ac:dyDescent="0.25">
      <c r="A945"/>
      <c r="B945"/>
      <c r="C945"/>
      <c r="D945"/>
      <c r="E945"/>
      <c r="F945"/>
      <c r="G945"/>
      <c r="H945"/>
      <c r="I945"/>
      <c r="J945"/>
      <c r="K945"/>
      <c r="L945"/>
      <c r="M945"/>
      <c r="N945"/>
      <c r="O945"/>
      <c r="P945"/>
      <c r="Q945"/>
      <c r="R945"/>
      <c r="S945"/>
    </row>
    <row r="946" spans="1:19" x14ac:dyDescent="0.25">
      <c r="A946"/>
      <c r="B946"/>
      <c r="C946"/>
      <c r="D946"/>
      <c r="E946"/>
      <c r="F946"/>
      <c r="G946"/>
      <c r="H946"/>
      <c r="I946"/>
      <c r="J946"/>
      <c r="K946"/>
      <c r="L946"/>
      <c r="M946"/>
      <c r="N946"/>
      <c r="O946"/>
      <c r="P946"/>
      <c r="Q946"/>
      <c r="R946"/>
      <c r="S946"/>
    </row>
    <row r="947" spans="1:19" x14ac:dyDescent="0.25">
      <c r="A947"/>
      <c r="B947"/>
      <c r="C947"/>
      <c r="D947"/>
      <c r="E947"/>
      <c r="F947"/>
      <c r="G947"/>
      <c r="H947"/>
      <c r="I947"/>
      <c r="J947"/>
      <c r="K947"/>
      <c r="L947"/>
      <c r="M947"/>
      <c r="N947"/>
      <c r="O947"/>
      <c r="P947"/>
      <c r="Q947"/>
      <c r="R947"/>
      <c r="S947"/>
    </row>
    <row r="948" spans="1:19" x14ac:dyDescent="0.25">
      <c r="A948"/>
      <c r="B948"/>
      <c r="C948"/>
      <c r="D948"/>
      <c r="E948"/>
      <c r="F948"/>
      <c r="G948"/>
      <c r="H948"/>
      <c r="I948"/>
      <c r="J948"/>
      <c r="K948"/>
      <c r="L948"/>
      <c r="M948"/>
      <c r="N948"/>
      <c r="O948"/>
      <c r="P948"/>
      <c r="Q948"/>
      <c r="R948"/>
      <c r="S948"/>
    </row>
    <row r="949" spans="1:19" x14ac:dyDescent="0.25">
      <c r="A949"/>
      <c r="B949"/>
      <c r="C949"/>
      <c r="D949"/>
      <c r="E949"/>
      <c r="F949"/>
      <c r="G949"/>
      <c r="H949"/>
      <c r="I949"/>
      <c r="J949"/>
      <c r="K949"/>
      <c r="L949"/>
      <c r="M949"/>
      <c r="N949"/>
      <c r="O949"/>
      <c r="P949"/>
      <c r="Q949"/>
      <c r="R949"/>
      <c r="S949"/>
    </row>
    <row r="950" spans="1:19" x14ac:dyDescent="0.25">
      <c r="A950"/>
      <c r="B950"/>
      <c r="C950"/>
      <c r="D950"/>
      <c r="E950"/>
      <c r="F950"/>
      <c r="G950"/>
      <c r="H950"/>
      <c r="I950"/>
      <c r="J950"/>
      <c r="K950"/>
      <c r="L950"/>
      <c r="M950"/>
      <c r="N950"/>
      <c r="O950"/>
      <c r="P950"/>
      <c r="Q950"/>
      <c r="R950"/>
      <c r="S950"/>
    </row>
    <row r="951" spans="1:19" x14ac:dyDescent="0.25">
      <c r="A951"/>
      <c r="B951"/>
      <c r="C951"/>
      <c r="D951"/>
      <c r="E951"/>
      <c r="F951"/>
      <c r="G951"/>
      <c r="H951"/>
      <c r="I951"/>
      <c r="J951"/>
      <c r="K951"/>
      <c r="L951"/>
      <c r="M951"/>
      <c r="N951"/>
      <c r="O951"/>
      <c r="P951"/>
      <c r="Q951"/>
      <c r="R951"/>
      <c r="S951"/>
    </row>
    <row r="952" spans="1:19" x14ac:dyDescent="0.25">
      <c r="A952"/>
      <c r="B952"/>
      <c r="C952"/>
      <c r="D952"/>
      <c r="E952"/>
      <c r="F952"/>
      <c r="G952"/>
      <c r="H952"/>
      <c r="I952"/>
      <c r="J952"/>
      <c r="K952"/>
      <c r="L952"/>
      <c r="M952"/>
      <c r="N952"/>
      <c r="O952"/>
      <c r="P952"/>
      <c r="Q952"/>
      <c r="R952"/>
      <c r="S952"/>
    </row>
    <row r="953" spans="1:19" x14ac:dyDescent="0.25">
      <c r="A953"/>
      <c r="B953"/>
      <c r="C953"/>
      <c r="D953"/>
      <c r="E953"/>
      <c r="F953"/>
      <c r="G953"/>
      <c r="H953"/>
      <c r="I953"/>
      <c r="J953"/>
      <c r="K953"/>
      <c r="L953"/>
      <c r="M953"/>
      <c r="N953"/>
      <c r="O953"/>
      <c r="P953"/>
      <c r="Q953"/>
      <c r="R953"/>
      <c r="S953"/>
    </row>
    <row r="954" spans="1:19" x14ac:dyDescent="0.25">
      <c r="A954"/>
      <c r="B954"/>
      <c r="C954"/>
      <c r="D954"/>
      <c r="E954"/>
      <c r="F954"/>
      <c r="G954"/>
      <c r="H954"/>
      <c r="I954"/>
      <c r="J954"/>
      <c r="K954"/>
      <c r="L954"/>
      <c r="M954"/>
      <c r="N954"/>
      <c r="O954"/>
      <c r="P954"/>
      <c r="Q954"/>
      <c r="R954"/>
      <c r="S954"/>
    </row>
    <row r="955" spans="1:19" x14ac:dyDescent="0.25">
      <c r="A955"/>
      <c r="B955"/>
      <c r="C955"/>
      <c r="D955"/>
      <c r="E955"/>
      <c r="F955"/>
      <c r="G955"/>
      <c r="H955"/>
      <c r="I955"/>
      <c r="J955"/>
      <c r="K955"/>
      <c r="L955"/>
      <c r="M955"/>
      <c r="N955"/>
      <c r="O955"/>
      <c r="P955"/>
      <c r="Q955"/>
      <c r="R955"/>
      <c r="S955"/>
    </row>
    <row r="956" spans="1:19" x14ac:dyDescent="0.25">
      <c r="A956"/>
      <c r="B956"/>
      <c r="C956"/>
      <c r="D956"/>
      <c r="E956"/>
      <c r="F956"/>
      <c r="G956"/>
      <c r="H956"/>
      <c r="I956"/>
      <c r="J956"/>
      <c r="K956"/>
      <c r="L956"/>
      <c r="M956"/>
      <c r="N956"/>
      <c r="O956"/>
      <c r="P956"/>
      <c r="Q956"/>
      <c r="R956"/>
      <c r="S956"/>
    </row>
    <row r="957" spans="1:19" x14ac:dyDescent="0.25">
      <c r="A957"/>
      <c r="B957"/>
      <c r="C957"/>
      <c r="D957"/>
      <c r="E957"/>
      <c r="F957"/>
      <c r="G957"/>
      <c r="H957"/>
      <c r="I957"/>
      <c r="J957"/>
      <c r="K957"/>
      <c r="L957"/>
      <c r="M957"/>
      <c r="N957"/>
      <c r="O957"/>
      <c r="P957"/>
      <c r="Q957"/>
      <c r="R957"/>
      <c r="S957"/>
    </row>
    <row r="958" spans="1:19" x14ac:dyDescent="0.25">
      <c r="A958"/>
      <c r="B958"/>
      <c r="C958"/>
      <c r="D958"/>
      <c r="E958"/>
      <c r="F958"/>
      <c r="G958"/>
      <c r="H958"/>
      <c r="I958"/>
      <c r="J958"/>
      <c r="K958"/>
      <c r="L958"/>
      <c r="M958"/>
      <c r="N958"/>
      <c r="O958"/>
      <c r="P958"/>
      <c r="Q958"/>
      <c r="R958"/>
      <c r="S958"/>
    </row>
    <row r="959" spans="1:19" x14ac:dyDescent="0.25">
      <c r="A959"/>
      <c r="B959"/>
      <c r="C959"/>
      <c r="D959"/>
      <c r="E959"/>
      <c r="F959"/>
      <c r="G959"/>
      <c r="H959"/>
      <c r="I959"/>
      <c r="J959"/>
      <c r="K959"/>
      <c r="L959"/>
      <c r="M959"/>
      <c r="N959"/>
      <c r="O959"/>
      <c r="P959"/>
      <c r="Q959"/>
      <c r="R959"/>
      <c r="S959"/>
    </row>
    <row r="960" spans="1:19" x14ac:dyDescent="0.25">
      <c r="A960"/>
      <c r="B960"/>
      <c r="C960"/>
      <c r="D960"/>
      <c r="E960"/>
      <c r="F960"/>
      <c r="G960"/>
      <c r="H960"/>
      <c r="I960"/>
      <c r="J960"/>
      <c r="K960"/>
      <c r="L960"/>
      <c r="M960"/>
      <c r="N960"/>
      <c r="O960"/>
      <c r="P960"/>
      <c r="Q960"/>
      <c r="R960"/>
      <c r="S960"/>
    </row>
    <row r="961" spans="1:19" x14ac:dyDescent="0.25">
      <c r="A961"/>
      <c r="B961"/>
      <c r="C961"/>
      <c r="D961"/>
      <c r="E961"/>
      <c r="F961"/>
      <c r="G961"/>
      <c r="H961"/>
      <c r="I961"/>
      <c r="J961"/>
      <c r="K961"/>
      <c r="L961"/>
      <c r="M961"/>
      <c r="N961"/>
      <c r="O961"/>
      <c r="P961"/>
      <c r="Q961"/>
      <c r="R961"/>
      <c r="S961"/>
    </row>
    <row r="962" spans="1:19" x14ac:dyDescent="0.25">
      <c r="A962"/>
      <c r="B962"/>
      <c r="C962"/>
      <c r="D962"/>
      <c r="E962"/>
      <c r="F962"/>
      <c r="G962"/>
      <c r="H962"/>
      <c r="I962"/>
      <c r="J962"/>
      <c r="K962"/>
      <c r="L962"/>
      <c r="M962"/>
      <c r="N962"/>
      <c r="O962"/>
      <c r="P962"/>
      <c r="Q962"/>
      <c r="R962"/>
      <c r="S962"/>
    </row>
    <row r="963" spans="1:19" x14ac:dyDescent="0.25">
      <c r="A963"/>
      <c r="B963"/>
      <c r="C963"/>
      <c r="D963"/>
      <c r="E963"/>
      <c r="F963"/>
      <c r="G963"/>
      <c r="H963"/>
      <c r="I963"/>
      <c r="J963"/>
      <c r="K963"/>
      <c r="L963"/>
      <c r="M963"/>
      <c r="N963"/>
      <c r="O963"/>
      <c r="P963"/>
      <c r="Q963"/>
      <c r="R963"/>
      <c r="S963"/>
    </row>
    <row r="964" spans="1:19" x14ac:dyDescent="0.25">
      <c r="A964"/>
      <c r="B964"/>
      <c r="C964"/>
      <c r="D964"/>
      <c r="E964"/>
      <c r="F964"/>
      <c r="G964"/>
      <c r="H964"/>
      <c r="I964"/>
      <c r="J964"/>
      <c r="K964"/>
      <c r="L964"/>
      <c r="M964"/>
      <c r="N964"/>
      <c r="O964"/>
      <c r="P964"/>
      <c r="Q964"/>
      <c r="R964"/>
      <c r="S964"/>
    </row>
    <row r="965" spans="1:19" x14ac:dyDescent="0.25">
      <c r="A965"/>
      <c r="B965"/>
      <c r="C965"/>
      <c r="D965"/>
      <c r="E965"/>
      <c r="F965"/>
      <c r="G965"/>
      <c r="H965"/>
      <c r="I965"/>
      <c r="J965"/>
      <c r="K965"/>
      <c r="L965"/>
      <c r="M965"/>
      <c r="N965"/>
      <c r="O965"/>
      <c r="P965"/>
      <c r="Q965"/>
      <c r="R965"/>
      <c r="S965"/>
    </row>
    <row r="966" spans="1:19" x14ac:dyDescent="0.25">
      <c r="A966"/>
      <c r="B966"/>
      <c r="C966"/>
      <c r="D966"/>
      <c r="E966"/>
      <c r="F966"/>
      <c r="G966"/>
      <c r="H966"/>
      <c r="I966"/>
      <c r="J966"/>
      <c r="K966"/>
      <c r="L966"/>
      <c r="M966"/>
      <c r="N966"/>
      <c r="O966"/>
      <c r="P966"/>
      <c r="Q966"/>
      <c r="R966"/>
      <c r="S966"/>
    </row>
    <row r="967" spans="1:19" x14ac:dyDescent="0.25">
      <c r="A967"/>
      <c r="B967"/>
      <c r="C967"/>
      <c r="D967"/>
      <c r="E967"/>
      <c r="F967"/>
      <c r="G967"/>
      <c r="H967"/>
      <c r="I967"/>
      <c r="J967"/>
      <c r="K967"/>
      <c r="L967"/>
      <c r="M967"/>
      <c r="N967"/>
      <c r="O967"/>
      <c r="P967"/>
      <c r="Q967"/>
      <c r="R967"/>
      <c r="S967"/>
    </row>
    <row r="968" spans="1:19" x14ac:dyDescent="0.25">
      <c r="A968"/>
      <c r="B968"/>
      <c r="C968"/>
      <c r="D968"/>
      <c r="E968"/>
      <c r="F968"/>
      <c r="G968"/>
      <c r="H968"/>
      <c r="I968"/>
      <c r="J968"/>
      <c r="K968"/>
      <c r="L968"/>
      <c r="M968"/>
      <c r="N968"/>
      <c r="O968"/>
      <c r="P968"/>
      <c r="Q968"/>
      <c r="R968"/>
      <c r="S968"/>
    </row>
    <row r="969" spans="1:19" x14ac:dyDescent="0.25">
      <c r="A969"/>
      <c r="B969"/>
      <c r="C969"/>
      <c r="D969"/>
      <c r="E969"/>
      <c r="F969"/>
      <c r="G969"/>
      <c r="H969"/>
      <c r="I969"/>
      <c r="J969"/>
      <c r="K969"/>
      <c r="L969"/>
      <c r="M969"/>
      <c r="N969"/>
      <c r="O969"/>
      <c r="P969"/>
      <c r="Q969"/>
      <c r="R969"/>
      <c r="S969"/>
    </row>
    <row r="970" spans="1:19" x14ac:dyDescent="0.25">
      <c r="A970"/>
      <c r="B970"/>
      <c r="C970"/>
      <c r="D970"/>
      <c r="E970"/>
      <c r="F970"/>
      <c r="G970"/>
      <c r="H970"/>
      <c r="I970"/>
      <c r="J970"/>
      <c r="K970"/>
      <c r="L970"/>
      <c r="M970"/>
      <c r="N970"/>
      <c r="O970"/>
      <c r="P970"/>
      <c r="Q970"/>
      <c r="R970"/>
      <c r="S970"/>
    </row>
    <row r="971" spans="1:19" x14ac:dyDescent="0.25">
      <c r="A971"/>
      <c r="B971"/>
      <c r="C971"/>
      <c r="D971"/>
      <c r="E971"/>
      <c r="F971"/>
      <c r="G971"/>
      <c r="H971"/>
      <c r="I971"/>
      <c r="J971"/>
      <c r="K971"/>
      <c r="L971"/>
      <c r="M971"/>
      <c r="N971"/>
      <c r="O971"/>
      <c r="P971"/>
      <c r="Q971"/>
      <c r="R971"/>
      <c r="S971"/>
    </row>
    <row r="972" spans="1:19" x14ac:dyDescent="0.25">
      <c r="A972"/>
      <c r="B972"/>
      <c r="C972"/>
      <c r="D972"/>
      <c r="E972"/>
      <c r="F972"/>
      <c r="G972"/>
      <c r="H972"/>
      <c r="I972"/>
      <c r="J972"/>
      <c r="K972"/>
      <c r="L972"/>
      <c r="M972"/>
      <c r="N972"/>
      <c r="O972"/>
      <c r="P972"/>
      <c r="Q972"/>
      <c r="R972"/>
      <c r="S972"/>
    </row>
    <row r="973" spans="1:19" x14ac:dyDescent="0.25">
      <c r="A973"/>
      <c r="B973"/>
      <c r="C973"/>
      <c r="D973"/>
      <c r="E973"/>
      <c r="F973"/>
      <c r="G973"/>
      <c r="H973"/>
      <c r="I973"/>
      <c r="J973"/>
      <c r="K973"/>
      <c r="L973"/>
      <c r="M973"/>
      <c r="N973"/>
      <c r="O973"/>
      <c r="P973"/>
      <c r="Q973"/>
      <c r="R973"/>
      <c r="S973"/>
    </row>
    <row r="974" spans="1:19" x14ac:dyDescent="0.25">
      <c r="A974"/>
      <c r="B974"/>
      <c r="C974"/>
      <c r="D974"/>
      <c r="E974"/>
      <c r="F974"/>
      <c r="G974"/>
      <c r="H974"/>
      <c r="I974"/>
      <c r="J974"/>
      <c r="K974"/>
      <c r="L974"/>
      <c r="M974"/>
      <c r="N974"/>
      <c r="O974"/>
      <c r="P974"/>
      <c r="Q974"/>
      <c r="R974"/>
      <c r="S974"/>
    </row>
    <row r="975" spans="1:19" x14ac:dyDescent="0.25">
      <c r="A975"/>
      <c r="B975"/>
      <c r="C975"/>
      <c r="D975"/>
      <c r="E975"/>
      <c r="F975"/>
      <c r="G975"/>
      <c r="H975"/>
      <c r="I975"/>
      <c r="J975"/>
      <c r="K975"/>
      <c r="L975"/>
      <c r="M975"/>
      <c r="N975"/>
      <c r="O975"/>
      <c r="P975"/>
      <c r="Q975"/>
      <c r="R975"/>
      <c r="S975"/>
    </row>
    <row r="976" spans="1:19" x14ac:dyDescent="0.25">
      <c r="A976"/>
      <c r="B976"/>
      <c r="C976"/>
      <c r="D976"/>
      <c r="E976"/>
      <c r="F976"/>
      <c r="G976"/>
      <c r="H976"/>
      <c r="I976"/>
      <c r="J976"/>
      <c r="K976"/>
      <c r="L976"/>
      <c r="M976"/>
      <c r="N976"/>
      <c r="O976"/>
      <c r="P976"/>
      <c r="Q976"/>
      <c r="R976"/>
      <c r="S976"/>
    </row>
    <row r="977" spans="1:19" x14ac:dyDescent="0.25">
      <c r="A977"/>
      <c r="B977"/>
      <c r="C977"/>
      <c r="D977"/>
      <c r="E977"/>
      <c r="F977"/>
      <c r="G977"/>
      <c r="H977"/>
      <c r="I977"/>
      <c r="J977"/>
      <c r="K977"/>
      <c r="L977"/>
      <c r="M977"/>
      <c r="N977"/>
      <c r="O977"/>
      <c r="P977"/>
      <c r="Q977"/>
      <c r="R977"/>
      <c r="S977"/>
    </row>
    <row r="978" spans="1:19" x14ac:dyDescent="0.25">
      <c r="A978"/>
      <c r="B978"/>
      <c r="C978"/>
      <c r="D978"/>
      <c r="E978"/>
      <c r="F978"/>
      <c r="G978"/>
      <c r="H978"/>
      <c r="I978"/>
      <c r="J978"/>
      <c r="K978"/>
      <c r="L978"/>
      <c r="M978"/>
      <c r="N978"/>
      <c r="O978"/>
      <c r="P978"/>
      <c r="Q978"/>
      <c r="R978"/>
      <c r="S978"/>
    </row>
    <row r="979" spans="1:19" x14ac:dyDescent="0.25">
      <c r="A979"/>
      <c r="B979"/>
      <c r="C979"/>
      <c r="D979"/>
      <c r="E979"/>
      <c r="F979"/>
      <c r="G979"/>
      <c r="H979"/>
      <c r="I979"/>
      <c r="J979"/>
      <c r="K979"/>
      <c r="L979"/>
      <c r="M979"/>
      <c r="N979"/>
      <c r="O979"/>
      <c r="P979"/>
      <c r="Q979"/>
      <c r="R979"/>
      <c r="S979"/>
    </row>
    <row r="980" spans="1:19" x14ac:dyDescent="0.25">
      <c r="A980"/>
      <c r="B980"/>
      <c r="C980"/>
      <c r="D980"/>
      <c r="E980"/>
      <c r="F980"/>
      <c r="G980"/>
      <c r="H980"/>
      <c r="I980"/>
      <c r="J980"/>
      <c r="K980"/>
      <c r="L980"/>
      <c r="M980"/>
      <c r="N980"/>
      <c r="O980"/>
      <c r="P980"/>
      <c r="Q980"/>
      <c r="R980"/>
      <c r="S980"/>
    </row>
    <row r="981" spans="1:19" x14ac:dyDescent="0.25">
      <c r="A981"/>
      <c r="B981"/>
      <c r="C981"/>
      <c r="D981"/>
      <c r="E981"/>
      <c r="F981"/>
      <c r="G981"/>
      <c r="H981"/>
      <c r="I981"/>
      <c r="J981"/>
      <c r="K981"/>
      <c r="L981"/>
      <c r="M981"/>
      <c r="N981"/>
      <c r="O981"/>
      <c r="P981"/>
      <c r="Q981"/>
      <c r="R981"/>
      <c r="S981"/>
    </row>
    <row r="982" spans="1:19" x14ac:dyDescent="0.25">
      <c r="A982"/>
      <c r="B982"/>
      <c r="C982"/>
      <c r="D982"/>
      <c r="E982"/>
      <c r="F982"/>
      <c r="G982"/>
      <c r="H982"/>
      <c r="I982"/>
      <c r="J982"/>
      <c r="K982"/>
      <c r="L982"/>
      <c r="M982"/>
      <c r="N982"/>
      <c r="O982"/>
      <c r="P982"/>
      <c r="Q982"/>
      <c r="R982"/>
      <c r="S982"/>
    </row>
    <row r="983" spans="1:19" x14ac:dyDescent="0.25">
      <c r="A983"/>
      <c r="B983"/>
      <c r="C983"/>
      <c r="D983"/>
      <c r="E983"/>
      <c r="F983"/>
      <c r="G983"/>
      <c r="H983"/>
      <c r="I983"/>
      <c r="J983"/>
      <c r="K983"/>
      <c r="L983"/>
      <c r="M983"/>
      <c r="N983"/>
      <c r="O983"/>
      <c r="P983"/>
      <c r="Q983"/>
      <c r="R983"/>
      <c r="S983"/>
    </row>
    <row r="984" spans="1:19" x14ac:dyDescent="0.25">
      <c r="A984"/>
      <c r="B984"/>
      <c r="C984"/>
      <c r="D984"/>
      <c r="E984"/>
      <c r="F984"/>
      <c r="G984"/>
      <c r="H984"/>
      <c r="I984"/>
      <c r="J984"/>
      <c r="K984"/>
      <c r="L984"/>
      <c r="M984"/>
      <c r="N984"/>
      <c r="O984"/>
      <c r="P984"/>
      <c r="Q984"/>
      <c r="R984"/>
      <c r="S984"/>
    </row>
    <row r="985" spans="1:19" x14ac:dyDescent="0.25">
      <c r="A985"/>
      <c r="B985"/>
      <c r="C985"/>
      <c r="D985"/>
      <c r="E985"/>
      <c r="F985"/>
      <c r="G985"/>
      <c r="H985"/>
      <c r="I985"/>
      <c r="J985"/>
      <c r="K985"/>
      <c r="L985"/>
      <c r="M985"/>
      <c r="N985"/>
      <c r="O985"/>
      <c r="P985"/>
      <c r="Q985"/>
      <c r="R985"/>
      <c r="S985"/>
    </row>
    <row r="986" spans="1:19" x14ac:dyDescent="0.25">
      <c r="A986"/>
      <c r="B986"/>
      <c r="C986"/>
      <c r="D986"/>
      <c r="E986"/>
      <c r="F986"/>
      <c r="G986"/>
      <c r="H986"/>
      <c r="I986"/>
      <c r="J986"/>
      <c r="K986"/>
      <c r="L986"/>
      <c r="M986"/>
      <c r="N986"/>
      <c r="O986"/>
      <c r="P986"/>
      <c r="Q986"/>
      <c r="R986"/>
      <c r="S986"/>
    </row>
    <row r="987" spans="1:19" x14ac:dyDescent="0.25">
      <c r="A987"/>
      <c r="B987"/>
      <c r="C987"/>
      <c r="D987"/>
      <c r="E987"/>
      <c r="F987"/>
      <c r="G987"/>
      <c r="H987"/>
      <c r="I987"/>
      <c r="J987"/>
      <c r="K987"/>
      <c r="L987"/>
      <c r="M987"/>
      <c r="N987"/>
      <c r="O987"/>
      <c r="P987"/>
      <c r="Q987"/>
      <c r="R987"/>
      <c r="S987"/>
    </row>
    <row r="988" spans="1:19" x14ac:dyDescent="0.25">
      <c r="A988"/>
      <c r="B988"/>
      <c r="C988"/>
      <c r="D988"/>
      <c r="E988"/>
      <c r="F988"/>
      <c r="G988"/>
      <c r="H988"/>
      <c r="I988"/>
      <c r="J988"/>
      <c r="K988"/>
      <c r="L988"/>
      <c r="M988"/>
      <c r="N988"/>
      <c r="O988"/>
      <c r="P988"/>
      <c r="Q988"/>
      <c r="R988"/>
      <c r="S988"/>
    </row>
    <row r="989" spans="1:19" x14ac:dyDescent="0.25">
      <c r="A989"/>
      <c r="B989"/>
      <c r="C989"/>
      <c r="D989"/>
      <c r="E989"/>
      <c r="F989"/>
      <c r="G989"/>
      <c r="H989"/>
      <c r="I989"/>
      <c r="J989"/>
      <c r="K989"/>
      <c r="L989"/>
      <c r="M989"/>
      <c r="N989"/>
      <c r="O989"/>
      <c r="P989"/>
      <c r="Q989"/>
      <c r="R989"/>
      <c r="S989"/>
    </row>
    <row r="990" spans="1:19" x14ac:dyDescent="0.25">
      <c r="A990"/>
      <c r="B990"/>
      <c r="C990"/>
      <c r="D990"/>
      <c r="E990"/>
      <c r="F990"/>
      <c r="G990"/>
      <c r="H990"/>
      <c r="I990"/>
      <c r="J990"/>
      <c r="K990"/>
      <c r="L990"/>
      <c r="M990"/>
      <c r="N990"/>
      <c r="O990"/>
      <c r="P990"/>
      <c r="Q990"/>
      <c r="R990"/>
      <c r="S990"/>
    </row>
    <row r="991" spans="1:19" x14ac:dyDescent="0.25">
      <c r="A991"/>
      <c r="B991"/>
      <c r="C991"/>
      <c r="D991"/>
      <c r="E991"/>
      <c r="F991"/>
      <c r="G991"/>
      <c r="H991"/>
      <c r="I991"/>
      <c r="J991"/>
      <c r="K991"/>
      <c r="L991"/>
      <c r="M991"/>
      <c r="N991"/>
      <c r="O991"/>
      <c r="P991"/>
      <c r="Q991"/>
      <c r="R991"/>
      <c r="S991"/>
    </row>
    <row r="992" spans="1:19" x14ac:dyDescent="0.25">
      <c r="A992"/>
      <c r="B992"/>
      <c r="C992"/>
      <c r="D992"/>
      <c r="E992"/>
      <c r="F992"/>
      <c r="G992"/>
      <c r="H992"/>
      <c r="I992"/>
      <c r="J992"/>
      <c r="K992"/>
      <c r="L992"/>
      <c r="M992"/>
      <c r="N992"/>
      <c r="O992"/>
      <c r="P992"/>
      <c r="Q992"/>
      <c r="R992"/>
      <c r="S992"/>
    </row>
    <row r="993" spans="1:19" x14ac:dyDescent="0.25">
      <c r="A993"/>
      <c r="B993"/>
      <c r="C993"/>
      <c r="D993"/>
      <c r="E993"/>
      <c r="F993"/>
      <c r="G993"/>
      <c r="H993"/>
      <c r="I993"/>
      <c r="J993"/>
      <c r="K993"/>
      <c r="L993"/>
      <c r="M993"/>
      <c r="N993"/>
      <c r="O993"/>
      <c r="P993"/>
      <c r="Q993"/>
      <c r="R993"/>
      <c r="S993"/>
    </row>
    <row r="994" spans="1:19" x14ac:dyDescent="0.25">
      <c r="A994"/>
      <c r="B994"/>
      <c r="C994"/>
      <c r="D994"/>
      <c r="E994"/>
      <c r="F994"/>
      <c r="G994"/>
      <c r="H994"/>
      <c r="I994"/>
      <c r="J994"/>
      <c r="K994"/>
      <c r="L994"/>
      <c r="M994"/>
      <c r="N994"/>
      <c r="O994"/>
      <c r="P994"/>
      <c r="Q994"/>
      <c r="R994"/>
      <c r="S994"/>
    </row>
    <row r="995" spans="1:19" x14ac:dyDescent="0.25">
      <c r="A995"/>
      <c r="B995"/>
      <c r="C995"/>
      <c r="D995"/>
      <c r="E995"/>
      <c r="F995"/>
      <c r="G995"/>
      <c r="H995"/>
      <c r="I995"/>
      <c r="J995"/>
      <c r="K995"/>
      <c r="L995"/>
      <c r="M995"/>
      <c r="N995"/>
      <c r="O995"/>
      <c r="P995"/>
      <c r="Q995"/>
      <c r="R995"/>
      <c r="S995"/>
    </row>
    <row r="996" spans="1:19" x14ac:dyDescent="0.25">
      <c r="A996"/>
      <c r="B996"/>
      <c r="C996"/>
      <c r="D996"/>
      <c r="E996"/>
      <c r="F996"/>
      <c r="G996"/>
      <c r="H996"/>
      <c r="I996"/>
      <c r="J996"/>
      <c r="K996"/>
      <c r="L996"/>
      <c r="M996"/>
      <c r="N996"/>
      <c r="O996"/>
      <c r="P996"/>
      <c r="Q996"/>
      <c r="R996"/>
      <c r="S996"/>
    </row>
    <row r="997" spans="1:19" x14ac:dyDescent="0.25">
      <c r="A997"/>
      <c r="B997"/>
      <c r="C997"/>
      <c r="D997"/>
      <c r="E997"/>
      <c r="F997"/>
      <c r="G997"/>
      <c r="H997"/>
      <c r="I997"/>
      <c r="J997"/>
      <c r="K997"/>
      <c r="L997"/>
      <c r="M997"/>
      <c r="N997"/>
      <c r="O997"/>
      <c r="P997"/>
      <c r="Q997"/>
      <c r="R997"/>
      <c r="S997"/>
    </row>
    <row r="998" spans="1:19" x14ac:dyDescent="0.25">
      <c r="A998"/>
      <c r="B998"/>
      <c r="C998"/>
      <c r="D998"/>
      <c r="E998"/>
      <c r="F998"/>
      <c r="G998"/>
      <c r="H998"/>
      <c r="I998"/>
      <c r="J998"/>
      <c r="K998"/>
      <c r="L998"/>
      <c r="M998"/>
      <c r="N998"/>
      <c r="O998"/>
      <c r="P998"/>
      <c r="Q998"/>
      <c r="R998"/>
      <c r="S998"/>
    </row>
    <row r="999" spans="1:19" x14ac:dyDescent="0.25">
      <c r="A999"/>
      <c r="B999"/>
      <c r="C999"/>
      <c r="D999"/>
      <c r="E999"/>
      <c r="F999"/>
      <c r="G999"/>
      <c r="H999"/>
      <c r="I999"/>
      <c r="J999"/>
      <c r="K999"/>
      <c r="L999"/>
      <c r="M999"/>
      <c r="N999"/>
      <c r="O999"/>
      <c r="P999"/>
      <c r="Q999"/>
      <c r="R999"/>
      <c r="S999"/>
    </row>
    <row r="1000" spans="1:19" x14ac:dyDescent="0.25">
      <c r="A1000"/>
      <c r="B1000"/>
      <c r="C1000"/>
      <c r="D1000"/>
      <c r="E1000"/>
      <c r="F1000"/>
      <c r="G1000"/>
      <c r="H1000"/>
      <c r="I1000"/>
      <c r="J1000"/>
      <c r="K1000"/>
      <c r="L1000"/>
      <c r="M1000"/>
      <c r="N1000"/>
      <c r="O1000"/>
      <c r="P1000"/>
      <c r="Q1000"/>
      <c r="R1000"/>
      <c r="S1000"/>
    </row>
    <row r="1001" spans="1:19" x14ac:dyDescent="0.25">
      <c r="A1001"/>
      <c r="B1001"/>
      <c r="C1001"/>
      <c r="D1001"/>
      <c r="E1001"/>
      <c r="F1001"/>
      <c r="G1001"/>
      <c r="H1001"/>
      <c r="I1001"/>
      <c r="J1001"/>
      <c r="K1001"/>
      <c r="L1001"/>
      <c r="M1001"/>
      <c r="N1001"/>
      <c r="O1001"/>
      <c r="P1001"/>
      <c r="Q1001"/>
      <c r="R1001"/>
      <c r="S1001"/>
    </row>
    <row r="1002" spans="1:19" x14ac:dyDescent="0.25">
      <c r="A1002"/>
      <c r="B1002"/>
      <c r="C1002"/>
      <c r="D1002"/>
      <c r="E1002"/>
      <c r="F1002"/>
      <c r="G1002"/>
      <c r="H1002"/>
      <c r="I1002"/>
      <c r="J1002"/>
      <c r="K1002"/>
      <c r="L1002"/>
      <c r="M1002"/>
      <c r="N1002"/>
      <c r="O1002"/>
      <c r="P1002"/>
      <c r="Q1002"/>
      <c r="R1002"/>
      <c r="S1002"/>
    </row>
    <row r="1003" spans="1:19" x14ac:dyDescent="0.25">
      <c r="A1003"/>
      <c r="B1003"/>
      <c r="C1003"/>
      <c r="D1003"/>
      <c r="E1003"/>
      <c r="F1003"/>
      <c r="G1003"/>
      <c r="H1003"/>
      <c r="I1003"/>
      <c r="J1003"/>
      <c r="K1003"/>
      <c r="L1003"/>
      <c r="M1003"/>
      <c r="N1003"/>
      <c r="O1003"/>
      <c r="P1003"/>
      <c r="Q1003"/>
      <c r="R1003"/>
      <c r="S1003"/>
    </row>
    <row r="1004" spans="1:19" x14ac:dyDescent="0.25">
      <c r="A1004"/>
      <c r="B1004"/>
      <c r="C1004"/>
      <c r="D1004"/>
      <c r="E1004"/>
      <c r="F1004"/>
      <c r="G1004"/>
      <c r="H1004"/>
      <c r="I1004"/>
      <c r="J1004"/>
      <c r="K1004"/>
      <c r="L1004"/>
      <c r="M1004"/>
      <c r="N1004"/>
      <c r="O1004"/>
      <c r="P1004"/>
      <c r="Q1004"/>
      <c r="R1004"/>
      <c r="S1004"/>
    </row>
    <row r="1005" spans="1:19" x14ac:dyDescent="0.25">
      <c r="A1005"/>
      <c r="B1005"/>
      <c r="C1005"/>
      <c r="D1005"/>
      <c r="E1005"/>
      <c r="F1005"/>
      <c r="G1005"/>
      <c r="H1005"/>
      <c r="I1005"/>
      <c r="J1005"/>
      <c r="K1005"/>
      <c r="L1005"/>
      <c r="M1005"/>
      <c r="N1005"/>
      <c r="O1005"/>
      <c r="P1005"/>
      <c r="Q1005"/>
      <c r="R1005"/>
      <c r="S1005"/>
    </row>
    <row r="1006" spans="1:19" x14ac:dyDescent="0.25">
      <c r="A1006"/>
      <c r="B1006"/>
      <c r="C1006"/>
      <c r="D1006"/>
      <c r="E1006"/>
      <c r="F1006"/>
      <c r="G1006"/>
      <c r="H1006"/>
      <c r="I1006"/>
      <c r="J1006"/>
      <c r="K1006"/>
      <c r="L1006"/>
      <c r="M1006"/>
      <c r="N1006"/>
      <c r="O1006"/>
      <c r="P1006"/>
      <c r="Q1006"/>
      <c r="R1006"/>
      <c r="S1006"/>
    </row>
    <row r="1007" spans="1:19" x14ac:dyDescent="0.25">
      <c r="A1007"/>
      <c r="B1007"/>
      <c r="C1007"/>
      <c r="D1007"/>
      <c r="E1007"/>
      <c r="F1007"/>
      <c r="G1007"/>
      <c r="H1007"/>
      <c r="I1007"/>
      <c r="J1007"/>
      <c r="K1007"/>
      <c r="L1007"/>
      <c r="M1007"/>
      <c r="N1007"/>
      <c r="O1007"/>
      <c r="P1007"/>
      <c r="Q1007"/>
      <c r="R1007"/>
      <c r="S1007"/>
    </row>
    <row r="1008" spans="1:19" x14ac:dyDescent="0.25">
      <c r="A1008"/>
      <c r="B1008"/>
      <c r="C1008"/>
      <c r="D1008"/>
      <c r="E1008"/>
      <c r="F1008"/>
      <c r="G1008"/>
      <c r="H1008"/>
      <c r="I1008"/>
      <c r="J1008"/>
      <c r="K1008"/>
      <c r="L1008"/>
      <c r="M1008"/>
      <c r="N1008"/>
      <c r="O1008"/>
      <c r="P1008"/>
      <c r="Q1008"/>
      <c r="R1008"/>
      <c r="S1008"/>
    </row>
    <row r="1009" spans="1:19" x14ac:dyDescent="0.25">
      <c r="A1009"/>
      <c r="B1009"/>
      <c r="C1009"/>
      <c r="D1009"/>
      <c r="E1009"/>
      <c r="F1009"/>
      <c r="G1009"/>
      <c r="H1009"/>
      <c r="I1009"/>
      <c r="J1009"/>
      <c r="K1009"/>
      <c r="L1009"/>
      <c r="M1009"/>
      <c r="N1009"/>
      <c r="O1009"/>
      <c r="P1009"/>
      <c r="Q1009"/>
      <c r="R1009"/>
      <c r="S1009"/>
    </row>
    <row r="1010" spans="1:19" x14ac:dyDescent="0.25">
      <c r="A1010"/>
      <c r="B1010"/>
      <c r="C1010"/>
      <c r="D1010"/>
      <c r="E1010"/>
      <c r="F1010"/>
      <c r="G1010"/>
      <c r="H1010"/>
      <c r="I1010"/>
      <c r="J1010"/>
      <c r="K1010"/>
      <c r="L1010"/>
      <c r="M1010"/>
      <c r="N1010"/>
      <c r="O1010"/>
      <c r="P1010"/>
      <c r="Q1010"/>
      <c r="R1010"/>
      <c r="S1010"/>
    </row>
    <row r="1011" spans="1:19" x14ac:dyDescent="0.25">
      <c r="A1011"/>
      <c r="B1011"/>
      <c r="C1011"/>
      <c r="D1011"/>
      <c r="E1011"/>
      <c r="F1011"/>
      <c r="G1011"/>
      <c r="H1011"/>
      <c r="I1011"/>
      <c r="J1011"/>
      <c r="K1011"/>
      <c r="L1011"/>
      <c r="M1011"/>
      <c r="N1011"/>
      <c r="O1011"/>
      <c r="P1011"/>
      <c r="Q1011"/>
      <c r="R1011"/>
      <c r="S1011"/>
    </row>
    <row r="1012" spans="1:19" x14ac:dyDescent="0.25">
      <c r="A1012"/>
      <c r="B1012"/>
      <c r="C1012"/>
      <c r="D1012"/>
      <c r="E1012"/>
      <c r="F1012"/>
      <c r="G1012"/>
      <c r="H1012"/>
      <c r="I1012"/>
      <c r="J1012"/>
      <c r="K1012"/>
      <c r="L1012"/>
      <c r="M1012"/>
      <c r="N1012"/>
      <c r="O1012"/>
      <c r="P1012"/>
      <c r="Q1012"/>
      <c r="R1012"/>
      <c r="S1012"/>
    </row>
    <row r="1013" spans="1:19" x14ac:dyDescent="0.25">
      <c r="A1013"/>
      <c r="B1013"/>
      <c r="C1013"/>
      <c r="D1013"/>
      <c r="E1013"/>
      <c r="F1013"/>
      <c r="G1013"/>
      <c r="H1013"/>
      <c r="I1013"/>
      <c r="J1013"/>
      <c r="K1013"/>
      <c r="L1013"/>
      <c r="M1013"/>
      <c r="N1013"/>
      <c r="O1013"/>
      <c r="P1013"/>
      <c r="Q1013"/>
      <c r="R1013"/>
      <c r="S1013"/>
    </row>
    <row r="1014" spans="1:19" x14ac:dyDescent="0.25">
      <c r="A1014"/>
      <c r="B1014"/>
      <c r="C1014"/>
      <c r="D1014"/>
      <c r="E1014"/>
      <c r="F1014"/>
      <c r="G1014"/>
      <c r="H1014"/>
      <c r="I1014"/>
      <c r="J1014"/>
      <c r="K1014"/>
      <c r="L1014"/>
      <c r="M1014"/>
      <c r="N1014"/>
      <c r="O1014"/>
      <c r="P1014"/>
      <c r="Q1014"/>
      <c r="R1014"/>
      <c r="S1014"/>
    </row>
    <row r="1015" spans="1:19" x14ac:dyDescent="0.25">
      <c r="A1015"/>
      <c r="B1015"/>
      <c r="C1015"/>
      <c r="D1015"/>
      <c r="E1015"/>
      <c r="F1015"/>
      <c r="G1015"/>
      <c r="H1015"/>
      <c r="I1015"/>
      <c r="J1015"/>
      <c r="K1015"/>
      <c r="L1015"/>
      <c r="M1015"/>
      <c r="N1015"/>
      <c r="O1015"/>
      <c r="P1015"/>
      <c r="Q1015"/>
      <c r="R1015"/>
      <c r="S1015"/>
    </row>
    <row r="1016" spans="1:19" x14ac:dyDescent="0.25">
      <c r="A1016"/>
      <c r="B1016"/>
      <c r="C1016"/>
      <c r="D1016"/>
      <c r="E1016"/>
      <c r="F1016"/>
      <c r="G1016"/>
      <c r="H1016"/>
      <c r="I1016"/>
      <c r="J1016"/>
      <c r="K1016"/>
      <c r="L1016"/>
      <c r="M1016"/>
      <c r="N1016"/>
      <c r="O1016"/>
      <c r="P1016"/>
      <c r="Q1016"/>
      <c r="R1016"/>
      <c r="S1016"/>
    </row>
    <row r="1017" spans="1:19" x14ac:dyDescent="0.25">
      <c r="A1017"/>
      <c r="B1017"/>
      <c r="C1017"/>
      <c r="D1017"/>
      <c r="E1017"/>
      <c r="F1017"/>
      <c r="G1017"/>
      <c r="H1017"/>
      <c r="I1017"/>
      <c r="J1017"/>
      <c r="K1017"/>
      <c r="L1017"/>
      <c r="M1017"/>
      <c r="N1017"/>
      <c r="O1017"/>
      <c r="P1017"/>
      <c r="Q1017"/>
      <c r="R1017"/>
      <c r="S1017"/>
    </row>
    <row r="1018" spans="1:19" x14ac:dyDescent="0.25">
      <c r="A1018"/>
      <c r="B1018"/>
      <c r="C1018"/>
      <c r="D1018"/>
      <c r="E1018"/>
      <c r="F1018"/>
      <c r="G1018"/>
      <c r="H1018"/>
      <c r="I1018"/>
      <c r="J1018"/>
      <c r="K1018"/>
      <c r="L1018"/>
      <c r="M1018"/>
      <c r="N1018"/>
      <c r="O1018"/>
      <c r="P1018"/>
      <c r="Q1018"/>
      <c r="R1018"/>
      <c r="S1018"/>
    </row>
    <row r="1019" spans="1:19" x14ac:dyDescent="0.25">
      <c r="A1019"/>
      <c r="B1019"/>
      <c r="C1019"/>
      <c r="D1019"/>
      <c r="E1019"/>
      <c r="F1019"/>
      <c r="G1019"/>
      <c r="H1019"/>
      <c r="I1019"/>
      <c r="J1019"/>
      <c r="K1019"/>
      <c r="L1019"/>
      <c r="M1019"/>
      <c r="N1019"/>
      <c r="O1019"/>
      <c r="P1019"/>
      <c r="Q1019"/>
      <c r="R1019"/>
      <c r="S1019"/>
    </row>
    <row r="1020" spans="1:19" x14ac:dyDescent="0.25">
      <c r="A1020"/>
      <c r="B1020"/>
      <c r="C1020"/>
      <c r="D1020"/>
      <c r="E1020"/>
      <c r="F1020"/>
      <c r="G1020"/>
      <c r="H1020"/>
      <c r="I1020"/>
      <c r="J1020"/>
      <c r="K1020"/>
      <c r="L1020"/>
      <c r="M1020"/>
      <c r="N1020"/>
      <c r="O1020"/>
      <c r="P1020"/>
      <c r="Q1020"/>
      <c r="R1020"/>
      <c r="S1020"/>
    </row>
    <row r="1021" spans="1:19" x14ac:dyDescent="0.25">
      <c r="A1021"/>
      <c r="B1021"/>
      <c r="C1021"/>
      <c r="D1021"/>
      <c r="E1021"/>
      <c r="F1021"/>
      <c r="G1021"/>
      <c r="H1021"/>
      <c r="I1021"/>
      <c r="J1021"/>
      <c r="K1021"/>
      <c r="L1021"/>
      <c r="M1021"/>
      <c r="N1021"/>
      <c r="O1021"/>
      <c r="P1021"/>
      <c r="Q1021"/>
      <c r="R1021"/>
      <c r="S1021"/>
    </row>
    <row r="1022" spans="1:19" x14ac:dyDescent="0.25">
      <c r="A1022"/>
      <c r="B1022"/>
      <c r="C1022"/>
      <c r="D1022"/>
      <c r="E1022"/>
      <c r="F1022"/>
      <c r="G1022"/>
      <c r="H1022"/>
      <c r="I1022"/>
      <c r="J1022"/>
      <c r="K1022"/>
      <c r="L1022"/>
      <c r="M1022"/>
      <c r="N1022"/>
      <c r="O1022"/>
      <c r="P1022"/>
      <c r="Q1022"/>
      <c r="R1022"/>
      <c r="S1022"/>
    </row>
    <row r="1023" spans="1:19" x14ac:dyDescent="0.25">
      <c r="A1023"/>
      <c r="B1023"/>
      <c r="C1023"/>
      <c r="D1023"/>
      <c r="E1023"/>
      <c r="F1023"/>
      <c r="G1023"/>
      <c r="H1023"/>
      <c r="I1023"/>
      <c r="J1023"/>
      <c r="K1023"/>
      <c r="L1023"/>
      <c r="M1023"/>
      <c r="N1023"/>
      <c r="O1023"/>
      <c r="P1023"/>
      <c r="Q1023"/>
      <c r="R1023"/>
      <c r="S1023"/>
    </row>
    <row r="1024" spans="1:19" x14ac:dyDescent="0.25">
      <c r="A1024"/>
      <c r="B1024"/>
      <c r="C1024"/>
      <c r="D1024"/>
      <c r="E1024"/>
      <c r="F1024"/>
      <c r="G1024"/>
      <c r="H1024"/>
      <c r="I1024"/>
      <c r="J1024"/>
      <c r="K1024"/>
      <c r="L1024"/>
      <c r="M1024"/>
      <c r="N1024"/>
      <c r="O1024"/>
      <c r="P1024"/>
      <c r="Q1024"/>
      <c r="R1024"/>
      <c r="S1024"/>
    </row>
    <row r="1025" spans="1:19" x14ac:dyDescent="0.25">
      <c r="A1025"/>
      <c r="B1025"/>
      <c r="C1025"/>
      <c r="D1025"/>
      <c r="E1025"/>
      <c r="F1025"/>
      <c r="G1025"/>
      <c r="H1025"/>
      <c r="I1025"/>
      <c r="J1025"/>
      <c r="K1025"/>
      <c r="L1025"/>
      <c r="M1025"/>
      <c r="N1025"/>
      <c r="O1025"/>
      <c r="P1025"/>
      <c r="Q1025"/>
      <c r="R1025"/>
      <c r="S1025"/>
    </row>
    <row r="1026" spans="1:19" x14ac:dyDescent="0.25">
      <c r="A1026"/>
      <c r="B1026"/>
      <c r="C1026"/>
      <c r="D1026"/>
      <c r="E1026"/>
      <c r="F1026"/>
      <c r="G1026"/>
      <c r="H1026"/>
      <c r="I1026"/>
      <c r="J1026"/>
      <c r="K1026"/>
      <c r="L1026"/>
      <c r="M1026"/>
      <c r="N1026"/>
      <c r="O1026"/>
      <c r="P1026"/>
      <c r="Q1026"/>
      <c r="R1026"/>
      <c r="S1026"/>
    </row>
    <row r="1027" spans="1:19" x14ac:dyDescent="0.25">
      <c r="A1027"/>
      <c r="B1027"/>
      <c r="C1027"/>
      <c r="D1027"/>
      <c r="E1027"/>
      <c r="F1027"/>
      <c r="G1027"/>
      <c r="H1027"/>
      <c r="I1027"/>
      <c r="J1027"/>
      <c r="K1027"/>
      <c r="L1027"/>
      <c r="M1027"/>
      <c r="N1027"/>
      <c r="O1027"/>
      <c r="P1027"/>
      <c r="Q1027"/>
      <c r="R1027"/>
      <c r="S1027"/>
    </row>
    <row r="1028" spans="1:19" x14ac:dyDescent="0.25">
      <c r="A1028"/>
      <c r="B1028"/>
      <c r="C1028"/>
      <c r="D1028"/>
      <c r="E1028"/>
      <c r="F1028"/>
      <c r="G1028"/>
      <c r="H1028"/>
      <c r="I1028"/>
      <c r="J1028"/>
      <c r="K1028"/>
      <c r="L1028"/>
      <c r="M1028"/>
      <c r="N1028"/>
      <c r="O1028"/>
      <c r="P1028"/>
      <c r="Q1028"/>
      <c r="R1028"/>
      <c r="S1028"/>
    </row>
    <row r="1029" spans="1:19" x14ac:dyDescent="0.25">
      <c r="A1029"/>
      <c r="B1029"/>
      <c r="C1029"/>
      <c r="D1029"/>
      <c r="E1029"/>
      <c r="F1029"/>
      <c r="G1029"/>
      <c r="H1029"/>
      <c r="I1029"/>
      <c r="J1029"/>
      <c r="K1029"/>
      <c r="L1029"/>
      <c r="M1029"/>
      <c r="N1029"/>
      <c r="O1029"/>
      <c r="P1029"/>
      <c r="Q1029"/>
      <c r="R1029"/>
      <c r="S1029"/>
    </row>
    <row r="1030" spans="1:19" x14ac:dyDescent="0.25">
      <c r="A1030"/>
      <c r="B1030"/>
      <c r="C1030"/>
      <c r="D1030"/>
      <c r="E1030"/>
      <c r="F1030"/>
      <c r="G1030"/>
      <c r="H1030"/>
      <c r="I1030"/>
      <c r="J1030"/>
      <c r="K1030"/>
      <c r="L1030"/>
      <c r="M1030"/>
      <c r="N1030"/>
      <c r="O1030"/>
      <c r="P1030"/>
      <c r="Q1030"/>
      <c r="R1030"/>
      <c r="S1030"/>
    </row>
    <row r="1031" spans="1:19" x14ac:dyDescent="0.25">
      <c r="A1031"/>
      <c r="B1031"/>
      <c r="C1031"/>
      <c r="D1031"/>
      <c r="E1031"/>
      <c r="F1031"/>
      <c r="G1031"/>
      <c r="H1031"/>
      <c r="I1031"/>
      <c r="J1031"/>
      <c r="K1031"/>
      <c r="L1031"/>
      <c r="M1031"/>
      <c r="N1031"/>
      <c r="O1031"/>
      <c r="P1031"/>
      <c r="Q1031"/>
      <c r="R1031"/>
      <c r="S1031"/>
    </row>
    <row r="1032" spans="1:19" x14ac:dyDescent="0.25">
      <c r="A1032"/>
      <c r="B1032"/>
      <c r="C1032"/>
      <c r="D1032"/>
      <c r="E1032"/>
      <c r="F1032"/>
      <c r="G1032"/>
      <c r="H1032"/>
      <c r="I1032"/>
      <c r="J1032"/>
      <c r="K1032"/>
      <c r="L1032"/>
      <c r="M1032"/>
      <c r="N1032"/>
      <c r="O1032"/>
      <c r="P1032"/>
      <c r="Q1032"/>
      <c r="R1032"/>
      <c r="S1032"/>
    </row>
    <row r="1033" spans="1:19" x14ac:dyDescent="0.25">
      <c r="A1033"/>
      <c r="B1033"/>
      <c r="C1033"/>
      <c r="D1033"/>
      <c r="E1033"/>
      <c r="F1033"/>
      <c r="G1033"/>
      <c r="H1033"/>
      <c r="I1033"/>
      <c r="J1033"/>
      <c r="K1033"/>
      <c r="L1033"/>
      <c r="M1033"/>
      <c r="N1033"/>
      <c r="O1033"/>
      <c r="P1033"/>
      <c r="Q1033"/>
      <c r="R1033"/>
      <c r="S1033"/>
    </row>
    <row r="1034" spans="1:19" x14ac:dyDescent="0.25">
      <c r="A1034"/>
      <c r="B1034"/>
      <c r="C1034"/>
      <c r="D1034"/>
      <c r="E1034"/>
      <c r="F1034"/>
      <c r="G1034"/>
      <c r="H1034"/>
      <c r="I1034"/>
      <c r="J1034"/>
      <c r="K1034"/>
      <c r="L1034"/>
      <c r="M1034"/>
      <c r="N1034"/>
      <c r="O1034"/>
      <c r="P1034"/>
      <c r="Q1034"/>
      <c r="R1034"/>
      <c r="S1034"/>
    </row>
    <row r="1035" spans="1:19" x14ac:dyDescent="0.25">
      <c r="A1035"/>
      <c r="B1035"/>
      <c r="C1035"/>
      <c r="D1035"/>
      <c r="E1035"/>
      <c r="F1035"/>
      <c r="G1035"/>
      <c r="H1035"/>
      <c r="I1035"/>
      <c r="J1035"/>
      <c r="K1035"/>
      <c r="L1035"/>
      <c r="M1035"/>
      <c r="N1035"/>
      <c r="O1035"/>
      <c r="P1035"/>
      <c r="Q1035"/>
      <c r="R1035"/>
      <c r="S1035"/>
    </row>
    <row r="1036" spans="1:19" x14ac:dyDescent="0.25">
      <c r="A1036"/>
      <c r="B1036"/>
      <c r="C1036"/>
      <c r="D1036"/>
      <c r="E1036"/>
      <c r="F1036"/>
      <c r="G1036"/>
      <c r="H1036"/>
      <c r="I1036"/>
      <c r="J1036"/>
      <c r="K1036"/>
      <c r="L1036"/>
      <c r="M1036"/>
      <c r="N1036"/>
      <c r="O1036"/>
      <c r="P1036"/>
      <c r="Q1036"/>
      <c r="R1036"/>
      <c r="S1036"/>
    </row>
    <row r="1037" spans="1:19" x14ac:dyDescent="0.25">
      <c r="A1037"/>
      <c r="B1037"/>
      <c r="C1037"/>
      <c r="D1037"/>
      <c r="E1037"/>
      <c r="F1037"/>
      <c r="G1037"/>
      <c r="H1037"/>
      <c r="I1037"/>
      <c r="J1037"/>
      <c r="K1037"/>
      <c r="L1037"/>
      <c r="M1037"/>
      <c r="N1037"/>
      <c r="O1037"/>
      <c r="P1037"/>
      <c r="Q1037"/>
      <c r="R1037"/>
      <c r="S1037"/>
    </row>
    <row r="1038" spans="1:19" x14ac:dyDescent="0.25">
      <c r="A1038"/>
      <c r="B1038"/>
      <c r="C1038"/>
      <c r="D1038"/>
      <c r="E1038"/>
      <c r="F1038"/>
      <c r="G1038"/>
      <c r="H1038"/>
      <c r="I1038"/>
      <c r="J1038"/>
      <c r="K1038"/>
      <c r="L1038"/>
      <c r="M1038"/>
      <c r="N1038"/>
      <c r="O1038"/>
      <c r="P1038"/>
      <c r="Q1038"/>
      <c r="R1038"/>
      <c r="S1038"/>
    </row>
    <row r="1039" spans="1:19" x14ac:dyDescent="0.25">
      <c r="A1039"/>
      <c r="B1039"/>
      <c r="C1039"/>
      <c r="D1039"/>
      <c r="E1039"/>
      <c r="F1039"/>
      <c r="G1039"/>
      <c r="H1039"/>
      <c r="I1039"/>
      <c r="J1039"/>
      <c r="K1039"/>
      <c r="L1039"/>
      <c r="M1039"/>
      <c r="N1039"/>
      <c r="O1039"/>
      <c r="P1039"/>
      <c r="Q1039"/>
      <c r="R1039"/>
      <c r="S1039"/>
    </row>
    <row r="1040" spans="1:19" x14ac:dyDescent="0.25">
      <c r="A1040"/>
      <c r="B1040"/>
      <c r="C1040"/>
      <c r="D1040"/>
      <c r="E1040"/>
      <c r="F1040"/>
      <c r="G1040"/>
      <c r="H1040"/>
      <c r="I1040"/>
      <c r="J1040"/>
      <c r="K1040"/>
      <c r="L1040"/>
      <c r="M1040"/>
      <c r="N1040"/>
      <c r="O1040"/>
      <c r="P1040"/>
      <c r="Q1040"/>
      <c r="R1040"/>
      <c r="S1040"/>
    </row>
    <row r="1041" spans="1:19" x14ac:dyDescent="0.25">
      <c r="A1041"/>
      <c r="B1041"/>
      <c r="C1041"/>
      <c r="D1041"/>
      <c r="E1041"/>
      <c r="F1041"/>
      <c r="G1041"/>
      <c r="H1041"/>
      <c r="I1041"/>
      <c r="J1041"/>
      <c r="K1041"/>
      <c r="L1041"/>
      <c r="M1041"/>
      <c r="N1041"/>
      <c r="O1041"/>
      <c r="P1041"/>
      <c r="Q1041"/>
      <c r="R1041"/>
      <c r="S1041"/>
    </row>
    <row r="1042" spans="1:19" x14ac:dyDescent="0.25">
      <c r="A1042"/>
      <c r="B1042"/>
      <c r="C1042"/>
      <c r="D1042"/>
      <c r="E1042"/>
      <c r="F1042"/>
      <c r="G1042"/>
      <c r="H1042"/>
      <c r="I1042"/>
      <c r="J1042"/>
      <c r="K1042"/>
      <c r="L1042"/>
      <c r="M1042"/>
      <c r="N1042"/>
      <c r="O1042"/>
      <c r="P1042"/>
      <c r="Q1042"/>
      <c r="R1042"/>
      <c r="S1042"/>
    </row>
    <row r="1043" spans="1:19" x14ac:dyDescent="0.25">
      <c r="A1043"/>
      <c r="B1043"/>
      <c r="C1043"/>
      <c r="D1043"/>
      <c r="E1043"/>
      <c r="F1043"/>
      <c r="G1043"/>
      <c r="H1043"/>
      <c r="I1043"/>
      <c r="J1043"/>
      <c r="K1043"/>
      <c r="L1043"/>
      <c r="M1043"/>
      <c r="N1043"/>
      <c r="O1043"/>
      <c r="P1043"/>
      <c r="Q1043"/>
      <c r="R1043"/>
      <c r="S1043"/>
    </row>
    <row r="1044" spans="1:19" x14ac:dyDescent="0.25">
      <c r="A1044"/>
      <c r="B1044"/>
      <c r="C1044"/>
      <c r="D1044"/>
      <c r="E1044"/>
      <c r="F1044"/>
      <c r="G1044"/>
      <c r="H1044"/>
      <c r="I1044"/>
      <c r="J1044"/>
      <c r="K1044"/>
      <c r="L1044"/>
      <c r="M1044"/>
      <c r="N1044"/>
      <c r="O1044"/>
      <c r="P1044"/>
      <c r="Q1044"/>
      <c r="R1044"/>
      <c r="S1044"/>
    </row>
    <row r="1045" spans="1:19" x14ac:dyDescent="0.25">
      <c r="A1045"/>
      <c r="B1045"/>
      <c r="C1045"/>
      <c r="D1045"/>
      <c r="E1045"/>
      <c r="F1045"/>
      <c r="G1045"/>
      <c r="H1045"/>
      <c r="I1045"/>
      <c r="J1045"/>
      <c r="K1045"/>
      <c r="L1045"/>
      <c r="M1045"/>
      <c r="N1045"/>
      <c r="O1045"/>
      <c r="P1045"/>
      <c r="Q1045"/>
      <c r="R1045"/>
      <c r="S1045"/>
    </row>
    <row r="1046" spans="1:19" x14ac:dyDescent="0.25">
      <c r="A1046"/>
      <c r="B1046"/>
      <c r="C1046"/>
      <c r="D1046"/>
      <c r="E1046"/>
      <c r="F1046"/>
      <c r="G1046"/>
      <c r="H1046"/>
      <c r="I1046"/>
      <c r="J1046"/>
      <c r="K1046"/>
      <c r="L1046"/>
      <c r="M1046"/>
      <c r="N1046"/>
      <c r="O1046"/>
      <c r="P1046"/>
      <c r="Q1046"/>
      <c r="R1046"/>
      <c r="S1046"/>
    </row>
    <row r="1047" spans="1:19" x14ac:dyDescent="0.25">
      <c r="A1047"/>
      <c r="B1047"/>
      <c r="C1047"/>
      <c r="D1047"/>
      <c r="E1047"/>
      <c r="F1047"/>
      <c r="G1047"/>
      <c r="H1047"/>
      <c r="I1047"/>
      <c r="J1047"/>
      <c r="K1047"/>
      <c r="L1047"/>
      <c r="M1047"/>
      <c r="N1047"/>
      <c r="O1047"/>
      <c r="P1047"/>
      <c r="Q1047"/>
      <c r="R1047"/>
      <c r="S1047"/>
    </row>
    <row r="1048" spans="1:19" x14ac:dyDescent="0.25">
      <c r="A1048"/>
      <c r="B1048"/>
      <c r="C1048"/>
      <c r="D1048"/>
      <c r="E1048"/>
      <c r="F1048"/>
      <c r="G1048"/>
      <c r="H1048"/>
      <c r="I1048"/>
      <c r="J1048"/>
      <c r="K1048"/>
      <c r="L1048"/>
      <c r="M1048"/>
      <c r="N1048"/>
      <c r="O1048"/>
      <c r="P1048"/>
      <c r="Q1048"/>
      <c r="R1048"/>
      <c r="S1048"/>
    </row>
    <row r="1049" spans="1:19" x14ac:dyDescent="0.25">
      <c r="A1049"/>
      <c r="B1049"/>
      <c r="C1049"/>
      <c r="D1049"/>
      <c r="E1049"/>
      <c r="F1049"/>
      <c r="G1049"/>
      <c r="H1049"/>
      <c r="I1049"/>
      <c r="J1049"/>
      <c r="K1049"/>
      <c r="L1049"/>
      <c r="M1049"/>
      <c r="N1049"/>
      <c r="O1049"/>
      <c r="P1049"/>
      <c r="Q1049"/>
      <c r="R1049"/>
      <c r="S1049"/>
    </row>
    <row r="1050" spans="1:19" x14ac:dyDescent="0.25">
      <c r="A1050"/>
      <c r="B1050"/>
      <c r="C1050"/>
      <c r="D1050"/>
      <c r="E1050"/>
      <c r="F1050"/>
      <c r="G1050"/>
      <c r="H1050"/>
      <c r="I1050"/>
      <c r="J1050"/>
      <c r="K1050"/>
      <c r="L1050"/>
      <c r="M1050"/>
      <c r="N1050"/>
      <c r="O1050"/>
      <c r="P1050"/>
      <c r="Q1050"/>
      <c r="R1050"/>
      <c r="S1050"/>
    </row>
    <row r="1051" spans="1:19" x14ac:dyDescent="0.25">
      <c r="A1051"/>
      <c r="B1051"/>
      <c r="C1051"/>
      <c r="D1051"/>
      <c r="E1051"/>
      <c r="F1051"/>
      <c r="G1051"/>
      <c r="H1051"/>
      <c r="I1051"/>
      <c r="J1051"/>
      <c r="K1051"/>
      <c r="L1051"/>
      <c r="M1051"/>
      <c r="N1051"/>
      <c r="O1051"/>
      <c r="P1051"/>
      <c r="Q1051"/>
      <c r="R1051"/>
      <c r="S1051"/>
    </row>
    <row r="1052" spans="1:19" x14ac:dyDescent="0.25">
      <c r="A1052"/>
      <c r="B1052"/>
      <c r="C1052"/>
      <c r="D1052"/>
      <c r="E1052"/>
      <c r="F1052"/>
      <c r="G1052"/>
      <c r="H1052"/>
      <c r="I1052"/>
      <c r="J1052"/>
      <c r="K1052"/>
      <c r="L1052"/>
      <c r="M1052"/>
      <c r="N1052"/>
      <c r="O1052"/>
      <c r="P1052"/>
      <c r="Q1052"/>
      <c r="R1052"/>
      <c r="S1052"/>
    </row>
    <row r="1053" spans="1:19" x14ac:dyDescent="0.25">
      <c r="A1053"/>
      <c r="B1053"/>
      <c r="C1053"/>
      <c r="D1053"/>
      <c r="E1053"/>
      <c r="F1053"/>
      <c r="G1053"/>
      <c r="H1053"/>
      <c r="I1053"/>
      <c r="J1053"/>
      <c r="K1053"/>
      <c r="L1053"/>
      <c r="M1053"/>
      <c r="N1053"/>
      <c r="O1053"/>
      <c r="P1053"/>
      <c r="Q1053"/>
      <c r="R1053"/>
      <c r="S1053"/>
    </row>
    <row r="1054" spans="1:19" x14ac:dyDescent="0.25">
      <c r="A1054"/>
      <c r="B1054"/>
      <c r="C1054"/>
      <c r="D1054"/>
      <c r="E1054"/>
      <c r="F1054"/>
      <c r="G1054"/>
      <c r="H1054"/>
      <c r="I1054"/>
      <c r="J1054"/>
      <c r="K1054"/>
      <c r="L1054"/>
      <c r="M1054"/>
      <c r="N1054"/>
      <c r="O1054"/>
      <c r="P1054"/>
      <c r="Q1054"/>
      <c r="R1054"/>
      <c r="S1054"/>
    </row>
    <row r="1055" spans="1:19" x14ac:dyDescent="0.25">
      <c r="A1055"/>
      <c r="B1055"/>
      <c r="C1055"/>
      <c r="D1055"/>
      <c r="E1055"/>
      <c r="F1055"/>
      <c r="G1055"/>
      <c r="H1055"/>
      <c r="I1055"/>
      <c r="J1055"/>
      <c r="K1055"/>
      <c r="L1055"/>
      <c r="M1055"/>
      <c r="N1055"/>
      <c r="O1055"/>
      <c r="P1055"/>
      <c r="Q1055"/>
      <c r="R1055"/>
      <c r="S1055"/>
    </row>
    <row r="1056" spans="1:19" x14ac:dyDescent="0.25">
      <c r="A1056"/>
      <c r="B1056"/>
      <c r="C1056"/>
      <c r="D1056"/>
      <c r="E1056"/>
      <c r="F1056"/>
      <c r="G1056"/>
      <c r="H1056"/>
      <c r="I1056"/>
      <c r="J1056"/>
      <c r="K1056"/>
      <c r="L1056"/>
      <c r="M1056"/>
      <c r="N1056"/>
      <c r="O1056"/>
      <c r="P1056"/>
      <c r="Q1056"/>
      <c r="R1056"/>
      <c r="S1056"/>
    </row>
    <row r="1057" spans="1:19" x14ac:dyDescent="0.25">
      <c r="A1057"/>
      <c r="B1057"/>
      <c r="C1057"/>
      <c r="D1057"/>
      <c r="E1057"/>
      <c r="F1057"/>
      <c r="G1057"/>
      <c r="H1057"/>
      <c r="I1057"/>
      <c r="J1057"/>
      <c r="K1057"/>
      <c r="L1057"/>
      <c r="M1057"/>
      <c r="N1057"/>
      <c r="O1057"/>
      <c r="P1057"/>
      <c r="Q1057"/>
      <c r="R1057"/>
      <c r="S1057"/>
    </row>
    <row r="1058" spans="1:19" x14ac:dyDescent="0.25">
      <c r="A1058"/>
      <c r="B1058"/>
      <c r="C1058"/>
      <c r="D1058"/>
      <c r="E1058"/>
      <c r="F1058"/>
      <c r="G1058"/>
      <c r="H1058"/>
      <c r="I1058"/>
      <c r="J1058"/>
      <c r="K1058"/>
      <c r="L1058"/>
      <c r="M1058"/>
      <c r="N1058"/>
      <c r="O1058"/>
      <c r="P1058"/>
      <c r="Q1058"/>
      <c r="R1058"/>
      <c r="S1058"/>
    </row>
    <row r="1059" spans="1:19" x14ac:dyDescent="0.25">
      <c r="A1059"/>
      <c r="B1059"/>
      <c r="C1059"/>
      <c r="D1059"/>
      <c r="E1059"/>
      <c r="F1059"/>
      <c r="G1059"/>
      <c r="H1059"/>
      <c r="I1059"/>
      <c r="J1059"/>
      <c r="K1059"/>
      <c r="L1059"/>
      <c r="M1059"/>
      <c r="N1059"/>
      <c r="O1059"/>
      <c r="P1059"/>
      <c r="Q1059"/>
      <c r="R1059"/>
      <c r="S1059"/>
    </row>
    <row r="1060" spans="1:19" x14ac:dyDescent="0.25">
      <c r="A1060"/>
      <c r="B1060"/>
      <c r="C1060"/>
      <c r="D1060"/>
      <c r="E1060"/>
      <c r="F1060"/>
      <c r="G1060"/>
      <c r="H1060"/>
      <c r="I1060"/>
      <c r="J1060"/>
      <c r="K1060"/>
      <c r="L1060"/>
      <c r="M1060"/>
      <c r="N1060"/>
      <c r="O1060"/>
      <c r="P1060"/>
      <c r="Q1060"/>
      <c r="R1060"/>
      <c r="S1060"/>
    </row>
    <row r="1061" spans="1:19" x14ac:dyDescent="0.25">
      <c r="A1061"/>
      <c r="B1061"/>
      <c r="C1061"/>
      <c r="D1061"/>
      <c r="E1061"/>
      <c r="F1061"/>
      <c r="G1061"/>
      <c r="H1061"/>
      <c r="I1061"/>
      <c r="J1061"/>
      <c r="K1061"/>
      <c r="L1061"/>
      <c r="M1061"/>
      <c r="N1061"/>
      <c r="O1061"/>
      <c r="P1061"/>
      <c r="Q1061"/>
      <c r="R1061"/>
      <c r="S1061"/>
    </row>
    <row r="1062" spans="1:19" x14ac:dyDescent="0.25">
      <c r="A1062"/>
      <c r="B1062"/>
      <c r="C1062"/>
      <c r="D1062"/>
      <c r="E1062"/>
      <c r="F1062"/>
      <c r="G1062"/>
      <c r="H1062"/>
      <c r="I1062"/>
      <c r="J1062"/>
      <c r="K1062"/>
      <c r="L1062"/>
      <c r="M1062"/>
      <c r="N1062"/>
      <c r="O1062"/>
      <c r="P1062"/>
      <c r="Q1062"/>
      <c r="R1062"/>
      <c r="S1062"/>
    </row>
    <row r="1063" spans="1:19" x14ac:dyDescent="0.25">
      <c r="A1063"/>
      <c r="B1063"/>
      <c r="C1063"/>
      <c r="D1063"/>
      <c r="E1063"/>
      <c r="F1063"/>
      <c r="G1063"/>
      <c r="H1063"/>
      <c r="I1063"/>
      <c r="J1063"/>
      <c r="K1063"/>
      <c r="L1063"/>
      <c r="M1063"/>
      <c r="N1063"/>
      <c r="O1063"/>
      <c r="P1063"/>
      <c r="Q1063"/>
      <c r="R1063"/>
      <c r="S1063"/>
    </row>
    <row r="1064" spans="1:19" x14ac:dyDescent="0.25">
      <c r="A1064"/>
      <c r="B1064"/>
      <c r="C1064"/>
      <c r="D1064"/>
      <c r="E1064"/>
      <c r="F1064"/>
      <c r="G1064"/>
      <c r="H1064"/>
      <c r="I1064"/>
      <c r="J1064"/>
      <c r="K1064"/>
      <c r="L1064"/>
      <c r="M1064"/>
      <c r="N1064"/>
      <c r="O1064"/>
      <c r="P1064"/>
      <c r="Q1064"/>
      <c r="R1064"/>
      <c r="S1064"/>
    </row>
    <row r="1065" spans="1:19" x14ac:dyDescent="0.25">
      <c r="A1065"/>
      <c r="B1065"/>
      <c r="C1065"/>
      <c r="D1065"/>
      <c r="E1065"/>
      <c r="F1065"/>
      <c r="G1065"/>
      <c r="H1065"/>
      <c r="I1065"/>
      <c r="J1065"/>
      <c r="K1065"/>
      <c r="L1065"/>
      <c r="M1065"/>
      <c r="N1065"/>
      <c r="O1065"/>
      <c r="P1065"/>
      <c r="Q1065"/>
      <c r="R1065"/>
      <c r="S1065"/>
    </row>
    <row r="1066" spans="1:19" x14ac:dyDescent="0.25">
      <c r="A1066"/>
      <c r="B1066"/>
      <c r="C1066"/>
      <c r="D1066"/>
      <c r="E1066"/>
      <c r="F1066"/>
      <c r="G1066"/>
      <c r="H1066"/>
      <c r="I1066"/>
      <c r="J1066"/>
      <c r="K1066"/>
      <c r="L1066"/>
      <c r="M1066"/>
      <c r="N1066"/>
      <c r="O1066"/>
      <c r="P1066"/>
      <c r="Q1066"/>
      <c r="R1066"/>
      <c r="S1066"/>
    </row>
    <row r="1067" spans="1:19" x14ac:dyDescent="0.25">
      <c r="A1067"/>
      <c r="B1067"/>
      <c r="C1067"/>
      <c r="D1067"/>
      <c r="E1067"/>
      <c r="F1067"/>
      <c r="G1067"/>
      <c r="H1067"/>
      <c r="I1067"/>
      <c r="J1067"/>
      <c r="K1067"/>
      <c r="L1067"/>
      <c r="M1067"/>
      <c r="N1067"/>
      <c r="O1067"/>
      <c r="P1067"/>
      <c r="Q1067"/>
      <c r="R1067"/>
      <c r="S1067"/>
    </row>
    <row r="1068" spans="1:19" x14ac:dyDescent="0.25">
      <c r="A1068"/>
      <c r="B1068"/>
      <c r="C1068"/>
      <c r="D1068"/>
      <c r="E1068"/>
      <c r="F1068"/>
      <c r="G1068"/>
      <c r="H1068"/>
      <c r="I1068"/>
      <c r="J1068"/>
      <c r="K1068"/>
      <c r="L1068"/>
      <c r="M1068"/>
      <c r="N1068"/>
      <c r="O1068"/>
      <c r="P1068"/>
      <c r="Q1068"/>
      <c r="R1068"/>
      <c r="S1068"/>
    </row>
    <row r="1069" spans="1:19" x14ac:dyDescent="0.25">
      <c r="A1069"/>
      <c r="B1069"/>
      <c r="C1069"/>
      <c r="D1069"/>
      <c r="E1069"/>
      <c r="F1069"/>
      <c r="G1069"/>
      <c r="H1069"/>
      <c r="I1069"/>
      <c r="J1069"/>
      <c r="K1069"/>
      <c r="L1069"/>
      <c r="M1069"/>
      <c r="N1069"/>
      <c r="O1069"/>
      <c r="P1069"/>
      <c r="Q1069"/>
      <c r="R1069"/>
      <c r="S1069"/>
    </row>
    <row r="1070" spans="1:19" x14ac:dyDescent="0.25">
      <c r="A1070"/>
      <c r="B1070"/>
      <c r="C1070"/>
      <c r="D1070"/>
      <c r="E1070"/>
      <c r="F1070"/>
      <c r="G1070"/>
      <c r="H1070"/>
      <c r="I1070"/>
      <c r="J1070"/>
      <c r="K1070"/>
      <c r="L1070"/>
      <c r="M1070"/>
      <c r="N1070"/>
      <c r="O1070"/>
      <c r="P1070"/>
      <c r="Q1070"/>
      <c r="R1070"/>
      <c r="S1070"/>
    </row>
    <row r="1071" spans="1:19" x14ac:dyDescent="0.25">
      <c r="A1071"/>
      <c r="B1071"/>
      <c r="C1071"/>
      <c r="D1071"/>
      <c r="E1071"/>
      <c r="F1071"/>
      <c r="G1071"/>
      <c r="H1071"/>
      <c r="I1071"/>
      <c r="J1071"/>
      <c r="K1071"/>
      <c r="L1071"/>
      <c r="M1071"/>
      <c r="N1071"/>
      <c r="O1071"/>
      <c r="P1071"/>
      <c r="Q1071"/>
      <c r="R1071"/>
      <c r="S1071"/>
    </row>
    <row r="1072" spans="1:19" x14ac:dyDescent="0.25">
      <c r="A1072"/>
      <c r="B1072"/>
      <c r="C1072"/>
      <c r="D1072"/>
      <c r="E1072"/>
      <c r="F1072"/>
      <c r="G1072"/>
      <c r="H1072"/>
      <c r="I1072"/>
      <c r="J1072"/>
      <c r="K1072"/>
      <c r="L1072"/>
      <c r="M1072"/>
      <c r="N1072"/>
      <c r="O1072"/>
      <c r="P1072"/>
      <c r="Q1072"/>
      <c r="R1072"/>
      <c r="S1072"/>
    </row>
    <row r="1073" spans="1:19" x14ac:dyDescent="0.25">
      <c r="A1073"/>
      <c r="B1073"/>
      <c r="C1073"/>
      <c r="D1073"/>
      <c r="E1073"/>
      <c r="F1073"/>
      <c r="G1073"/>
      <c r="H1073"/>
      <c r="I1073"/>
      <c r="J1073"/>
      <c r="K1073"/>
      <c r="L1073"/>
      <c r="M1073"/>
      <c r="N1073"/>
      <c r="O1073"/>
      <c r="P1073"/>
      <c r="Q1073"/>
      <c r="R1073"/>
      <c r="S1073"/>
    </row>
    <row r="1074" spans="1:19" x14ac:dyDescent="0.25">
      <c r="A1074"/>
      <c r="B1074"/>
      <c r="C1074"/>
      <c r="D1074"/>
      <c r="E1074"/>
      <c r="F1074"/>
      <c r="G1074"/>
      <c r="H1074"/>
      <c r="I1074"/>
      <c r="J1074"/>
      <c r="K1074"/>
      <c r="L1074"/>
      <c r="M1074"/>
      <c r="N1074"/>
      <c r="O1074"/>
      <c r="P1074"/>
      <c r="Q1074"/>
      <c r="R1074"/>
      <c r="S1074"/>
    </row>
    <row r="1075" spans="1:19" x14ac:dyDescent="0.25">
      <c r="A1075"/>
      <c r="B1075"/>
      <c r="C1075"/>
      <c r="D1075"/>
      <c r="E1075"/>
      <c r="F1075"/>
      <c r="G1075"/>
      <c r="H1075"/>
      <c r="I1075"/>
      <c r="J1075"/>
      <c r="K1075"/>
      <c r="L1075"/>
      <c r="M1075"/>
      <c r="N1075"/>
      <c r="O1075"/>
      <c r="P1075"/>
      <c r="Q1075"/>
      <c r="R1075"/>
      <c r="S1075"/>
    </row>
    <row r="1076" spans="1:19" x14ac:dyDescent="0.25">
      <c r="A1076"/>
      <c r="B1076"/>
      <c r="C1076"/>
      <c r="D1076"/>
      <c r="E1076"/>
      <c r="F1076"/>
      <c r="G1076"/>
      <c r="H1076"/>
      <c r="I1076"/>
      <c r="J1076"/>
      <c r="K1076"/>
      <c r="L1076"/>
      <c r="M1076"/>
      <c r="N1076"/>
      <c r="O1076"/>
      <c r="P1076"/>
      <c r="Q1076"/>
      <c r="R1076"/>
      <c r="S1076"/>
    </row>
    <row r="1077" spans="1:19" x14ac:dyDescent="0.25">
      <c r="A1077"/>
      <c r="B1077"/>
      <c r="C1077"/>
      <c r="D1077"/>
      <c r="E1077"/>
      <c r="F1077"/>
      <c r="G1077"/>
      <c r="H1077"/>
      <c r="I1077"/>
      <c r="J1077"/>
      <c r="K1077"/>
      <c r="L1077"/>
      <c r="M1077"/>
      <c r="N1077"/>
      <c r="O1077"/>
      <c r="P1077"/>
      <c r="Q1077"/>
      <c r="R1077"/>
      <c r="S1077"/>
    </row>
    <row r="1078" spans="1:19" x14ac:dyDescent="0.25">
      <c r="A1078"/>
      <c r="B1078"/>
      <c r="C1078"/>
      <c r="D1078"/>
      <c r="E1078"/>
      <c r="F1078"/>
      <c r="G1078"/>
      <c r="H1078"/>
      <c r="I1078"/>
      <c r="J1078"/>
      <c r="K1078"/>
      <c r="L1078"/>
      <c r="M1078"/>
      <c r="N1078"/>
      <c r="O1078"/>
      <c r="P1078"/>
      <c r="Q1078"/>
      <c r="R1078"/>
      <c r="S1078"/>
    </row>
    <row r="1079" spans="1:19" x14ac:dyDescent="0.25">
      <c r="A1079"/>
      <c r="B1079"/>
      <c r="C1079"/>
      <c r="D1079"/>
      <c r="E1079"/>
      <c r="F1079"/>
      <c r="G1079"/>
      <c r="H1079"/>
      <c r="I1079"/>
      <c r="J1079"/>
      <c r="K1079"/>
      <c r="L1079"/>
      <c r="M1079"/>
      <c r="N1079"/>
      <c r="O1079"/>
      <c r="P1079"/>
      <c r="Q1079"/>
      <c r="R1079"/>
      <c r="S1079"/>
    </row>
    <row r="1080" spans="1:19" x14ac:dyDescent="0.25">
      <c r="A1080"/>
      <c r="B1080"/>
      <c r="C1080"/>
      <c r="D1080"/>
      <c r="E1080"/>
      <c r="F1080"/>
      <c r="G1080"/>
      <c r="H1080"/>
      <c r="I1080"/>
      <c r="J1080"/>
      <c r="K1080"/>
      <c r="L1080"/>
      <c r="M1080"/>
      <c r="N1080"/>
      <c r="O1080"/>
      <c r="P1080"/>
      <c r="Q1080"/>
      <c r="R1080"/>
      <c r="S1080"/>
    </row>
    <row r="1081" spans="1:19" x14ac:dyDescent="0.25">
      <c r="A1081"/>
      <c r="B1081"/>
      <c r="C1081"/>
      <c r="D1081"/>
      <c r="E1081"/>
      <c r="F1081"/>
      <c r="G1081"/>
      <c r="H1081"/>
      <c r="I1081"/>
      <c r="J1081"/>
      <c r="K1081"/>
      <c r="L1081"/>
      <c r="M1081"/>
      <c r="N1081"/>
      <c r="O1081"/>
      <c r="P1081"/>
      <c r="Q1081"/>
      <c r="R1081"/>
      <c r="S1081"/>
    </row>
    <row r="1082" spans="1:19" x14ac:dyDescent="0.25">
      <c r="A1082"/>
      <c r="B1082"/>
      <c r="C1082"/>
      <c r="D1082"/>
      <c r="E1082"/>
      <c r="F1082"/>
      <c r="G1082"/>
      <c r="H1082"/>
      <c r="I1082"/>
      <c r="J1082"/>
      <c r="K1082"/>
      <c r="L1082"/>
      <c r="M1082"/>
      <c r="N1082"/>
      <c r="O1082"/>
      <c r="P1082"/>
      <c r="Q1082"/>
      <c r="R1082"/>
      <c r="S1082"/>
    </row>
    <row r="1083" spans="1:19" x14ac:dyDescent="0.25">
      <c r="A1083"/>
      <c r="B1083"/>
      <c r="C1083"/>
      <c r="D1083"/>
      <c r="E1083"/>
      <c r="F1083"/>
      <c r="G1083"/>
      <c r="H1083"/>
      <c r="I1083"/>
      <c r="J1083"/>
      <c r="K1083"/>
      <c r="L1083"/>
      <c r="M1083"/>
      <c r="N1083"/>
      <c r="O1083"/>
      <c r="P1083"/>
      <c r="Q1083"/>
      <c r="R1083"/>
      <c r="S1083"/>
    </row>
    <row r="1084" spans="1:19" x14ac:dyDescent="0.25">
      <c r="A1084"/>
      <c r="B1084"/>
      <c r="C1084"/>
      <c r="D1084"/>
      <c r="E1084"/>
      <c r="F1084"/>
      <c r="G1084"/>
      <c r="H1084"/>
      <c r="I1084"/>
      <c r="J1084"/>
      <c r="K1084"/>
      <c r="L1084"/>
      <c r="M1084"/>
      <c r="N1084"/>
      <c r="O1084"/>
      <c r="P1084"/>
      <c r="Q1084"/>
      <c r="R1084"/>
      <c r="S1084"/>
    </row>
    <row r="1085" spans="1:19" x14ac:dyDescent="0.25">
      <c r="A1085"/>
      <c r="B1085"/>
      <c r="C1085"/>
      <c r="D1085"/>
      <c r="E1085"/>
      <c r="F1085"/>
      <c r="G1085"/>
      <c r="H1085"/>
      <c r="I1085"/>
      <c r="J1085"/>
      <c r="K1085"/>
      <c r="L1085"/>
      <c r="M1085"/>
      <c r="N1085"/>
      <c r="O1085"/>
      <c r="P1085"/>
      <c r="Q1085"/>
      <c r="R1085"/>
      <c r="S1085"/>
    </row>
    <row r="1086" spans="1:19" x14ac:dyDescent="0.25">
      <c r="A1086"/>
      <c r="B1086"/>
      <c r="C1086"/>
      <c r="D1086"/>
      <c r="E1086"/>
      <c r="F1086"/>
      <c r="G1086"/>
      <c r="H1086"/>
      <c r="I1086"/>
      <c r="J1086"/>
      <c r="K1086"/>
      <c r="L1086"/>
      <c r="M1086"/>
      <c r="N1086"/>
      <c r="O1086"/>
      <c r="P1086"/>
      <c r="Q1086"/>
      <c r="R1086"/>
      <c r="S1086"/>
    </row>
    <row r="1087" spans="1:19" x14ac:dyDescent="0.25">
      <c r="A1087"/>
      <c r="B1087"/>
      <c r="C1087"/>
      <c r="D1087"/>
      <c r="E1087"/>
      <c r="F1087"/>
      <c r="G1087"/>
      <c r="H1087"/>
      <c r="I1087"/>
      <c r="J1087"/>
      <c r="K1087"/>
      <c r="L1087"/>
      <c r="M1087"/>
      <c r="N1087"/>
      <c r="O1087"/>
      <c r="P1087"/>
      <c r="Q1087"/>
      <c r="R1087"/>
      <c r="S1087"/>
    </row>
    <row r="1088" spans="1:19" x14ac:dyDescent="0.25">
      <c r="A1088"/>
      <c r="B1088"/>
      <c r="C1088"/>
      <c r="D1088"/>
      <c r="E1088"/>
      <c r="F1088"/>
      <c r="G1088"/>
      <c r="H1088"/>
      <c r="I1088"/>
      <c r="J1088"/>
      <c r="K1088"/>
      <c r="L1088"/>
      <c r="M1088"/>
      <c r="N1088"/>
      <c r="O1088"/>
      <c r="P1088"/>
      <c r="Q1088"/>
      <c r="R1088"/>
      <c r="S1088"/>
    </row>
    <row r="1089" spans="1:19" x14ac:dyDescent="0.25">
      <c r="A1089"/>
      <c r="B1089"/>
      <c r="C1089"/>
      <c r="D1089"/>
      <c r="E1089"/>
      <c r="F1089"/>
      <c r="G1089"/>
      <c r="H1089"/>
      <c r="I1089"/>
      <c r="J1089"/>
      <c r="K1089"/>
      <c r="L1089"/>
      <c r="M1089"/>
      <c r="N1089"/>
      <c r="O1089"/>
      <c r="P1089"/>
      <c r="Q1089"/>
      <c r="R1089"/>
      <c r="S1089"/>
    </row>
    <row r="1090" spans="1:19" x14ac:dyDescent="0.25">
      <c r="A1090"/>
      <c r="B1090"/>
      <c r="C1090"/>
      <c r="D1090"/>
      <c r="E1090"/>
      <c r="F1090"/>
      <c r="G1090"/>
      <c r="H1090"/>
      <c r="I1090"/>
      <c r="J1090"/>
      <c r="K1090"/>
      <c r="L1090"/>
      <c r="M1090"/>
      <c r="N1090"/>
      <c r="O1090"/>
      <c r="P1090"/>
      <c r="Q1090"/>
      <c r="R1090"/>
      <c r="S1090"/>
    </row>
    <row r="1091" spans="1:19" x14ac:dyDescent="0.25">
      <c r="A1091"/>
      <c r="B1091"/>
      <c r="C1091"/>
      <c r="D1091"/>
      <c r="E1091"/>
      <c r="F1091"/>
      <c r="G1091"/>
      <c r="H1091"/>
      <c r="I1091"/>
      <c r="J1091"/>
      <c r="K1091"/>
      <c r="L1091"/>
      <c r="M1091"/>
      <c r="N1091"/>
      <c r="O1091"/>
      <c r="P1091"/>
      <c r="Q1091"/>
      <c r="R1091"/>
      <c r="S1091"/>
    </row>
    <row r="1092" spans="1:19" x14ac:dyDescent="0.25">
      <c r="A1092"/>
      <c r="B1092"/>
      <c r="C1092"/>
      <c r="D1092"/>
      <c r="E1092"/>
      <c r="F1092"/>
      <c r="G1092"/>
      <c r="H1092"/>
      <c r="I1092"/>
      <c r="J1092"/>
      <c r="K1092"/>
      <c r="L1092"/>
      <c r="M1092"/>
      <c r="N1092"/>
      <c r="O1092"/>
      <c r="P1092"/>
      <c r="Q1092"/>
      <c r="R1092"/>
      <c r="S1092"/>
    </row>
    <row r="1093" spans="1:19" x14ac:dyDescent="0.25">
      <c r="A1093"/>
      <c r="B1093"/>
      <c r="C1093"/>
      <c r="D1093"/>
      <c r="E1093"/>
      <c r="F1093"/>
      <c r="G1093"/>
      <c r="H1093"/>
      <c r="I1093"/>
      <c r="J1093"/>
      <c r="K1093"/>
      <c r="L1093"/>
      <c r="M1093"/>
      <c r="N1093"/>
      <c r="O1093"/>
      <c r="P1093"/>
      <c r="Q1093"/>
      <c r="R1093"/>
      <c r="S1093"/>
    </row>
    <row r="1094" spans="1:19" x14ac:dyDescent="0.25">
      <c r="A1094"/>
      <c r="B1094"/>
      <c r="C1094"/>
      <c r="D1094"/>
      <c r="E1094"/>
      <c r="F1094"/>
      <c r="G1094"/>
      <c r="H1094"/>
      <c r="I1094"/>
      <c r="J1094"/>
      <c r="K1094"/>
      <c r="L1094"/>
      <c r="M1094"/>
      <c r="N1094"/>
      <c r="O1094"/>
      <c r="P1094"/>
      <c r="Q1094"/>
      <c r="R1094"/>
      <c r="S1094"/>
    </row>
    <row r="1095" spans="1:19" x14ac:dyDescent="0.25">
      <c r="A1095"/>
      <c r="B1095"/>
      <c r="C1095"/>
      <c r="D1095"/>
      <c r="E1095"/>
      <c r="F1095"/>
      <c r="G1095"/>
      <c r="H1095"/>
      <c r="I1095"/>
      <c r="J1095"/>
      <c r="K1095"/>
      <c r="L1095"/>
      <c r="M1095"/>
      <c r="N1095"/>
      <c r="O1095"/>
      <c r="P1095"/>
      <c r="Q1095"/>
      <c r="R1095"/>
      <c r="S1095"/>
    </row>
    <row r="1096" spans="1:19" x14ac:dyDescent="0.25">
      <c r="A1096"/>
      <c r="B1096"/>
      <c r="C1096"/>
      <c r="D1096"/>
      <c r="E1096"/>
      <c r="F1096"/>
      <c r="G1096"/>
      <c r="H1096"/>
      <c r="I1096"/>
      <c r="J1096"/>
      <c r="K1096"/>
      <c r="L1096"/>
      <c r="M1096"/>
      <c r="N1096"/>
      <c r="O1096"/>
      <c r="P1096"/>
      <c r="Q1096"/>
      <c r="R1096"/>
      <c r="S1096"/>
    </row>
    <row r="1097" spans="1:19" x14ac:dyDescent="0.25">
      <c r="A1097"/>
      <c r="B1097"/>
      <c r="C1097"/>
      <c r="D1097"/>
      <c r="E1097"/>
      <c r="F1097"/>
      <c r="G1097"/>
      <c r="H1097"/>
      <c r="I1097"/>
      <c r="J1097"/>
      <c r="K1097"/>
      <c r="L1097"/>
      <c r="M1097"/>
      <c r="N1097"/>
      <c r="O1097"/>
      <c r="P1097"/>
      <c r="Q1097"/>
      <c r="R1097"/>
      <c r="S1097"/>
    </row>
    <row r="1098" spans="1:19" x14ac:dyDescent="0.25">
      <c r="A1098"/>
      <c r="B1098"/>
      <c r="C1098"/>
      <c r="D1098"/>
      <c r="E1098"/>
      <c r="F1098"/>
      <c r="G1098"/>
      <c r="H1098"/>
      <c r="I1098"/>
      <c r="J1098"/>
      <c r="K1098"/>
      <c r="L1098"/>
      <c r="M1098"/>
      <c r="N1098"/>
      <c r="O1098"/>
      <c r="P1098"/>
      <c r="Q1098"/>
      <c r="R1098"/>
      <c r="S1098"/>
    </row>
    <row r="1099" spans="1:19" x14ac:dyDescent="0.25">
      <c r="A1099"/>
      <c r="B1099"/>
      <c r="C1099"/>
      <c r="D1099"/>
      <c r="E1099"/>
      <c r="F1099"/>
      <c r="G1099"/>
      <c r="H1099"/>
      <c r="I1099"/>
      <c r="J1099"/>
      <c r="K1099"/>
      <c r="L1099"/>
      <c r="M1099"/>
      <c r="N1099"/>
      <c r="O1099"/>
      <c r="P1099"/>
      <c r="Q1099"/>
      <c r="R1099"/>
      <c r="S1099"/>
    </row>
    <row r="1100" spans="1:19" x14ac:dyDescent="0.25">
      <c r="A1100"/>
      <c r="B1100"/>
      <c r="C1100"/>
      <c r="D1100"/>
      <c r="E1100"/>
      <c r="F1100"/>
      <c r="G1100"/>
      <c r="H1100"/>
      <c r="I1100"/>
      <c r="J1100"/>
      <c r="K1100"/>
      <c r="L1100"/>
      <c r="M1100"/>
      <c r="N1100"/>
      <c r="O1100"/>
      <c r="P1100"/>
      <c r="Q1100"/>
      <c r="R1100"/>
      <c r="S1100"/>
    </row>
    <row r="1101" spans="1:19" x14ac:dyDescent="0.25">
      <c r="A1101"/>
      <c r="B1101"/>
      <c r="C1101"/>
      <c r="D1101"/>
      <c r="E1101"/>
      <c r="F1101"/>
      <c r="G1101"/>
      <c r="H1101"/>
      <c r="I1101"/>
      <c r="J1101"/>
      <c r="K1101"/>
      <c r="L1101"/>
      <c r="M1101"/>
      <c r="N1101"/>
      <c r="O1101"/>
      <c r="P1101"/>
      <c r="Q1101"/>
      <c r="R1101"/>
      <c r="S1101"/>
    </row>
    <row r="1102" spans="1:19" x14ac:dyDescent="0.25">
      <c r="A1102"/>
      <c r="B1102"/>
      <c r="C1102"/>
      <c r="D1102"/>
      <c r="E1102"/>
      <c r="F1102"/>
      <c r="G1102"/>
      <c r="H1102"/>
      <c r="I1102"/>
      <c r="J1102"/>
      <c r="K1102"/>
      <c r="L1102"/>
      <c r="M1102"/>
      <c r="N1102"/>
      <c r="O1102"/>
      <c r="P1102"/>
      <c r="Q1102"/>
      <c r="R1102"/>
      <c r="S1102"/>
    </row>
    <row r="1103" spans="1:19" x14ac:dyDescent="0.25">
      <c r="A1103"/>
      <c r="B1103"/>
      <c r="C1103"/>
      <c r="D1103"/>
      <c r="E1103"/>
      <c r="F1103"/>
      <c r="G1103"/>
      <c r="H1103"/>
      <c r="I1103"/>
      <c r="J1103"/>
      <c r="K1103"/>
      <c r="L1103"/>
      <c r="M1103"/>
      <c r="N1103"/>
      <c r="O1103"/>
      <c r="P1103"/>
      <c r="Q1103"/>
      <c r="R1103"/>
      <c r="S1103"/>
    </row>
    <row r="1104" spans="1:19" x14ac:dyDescent="0.25">
      <c r="A1104"/>
      <c r="B1104"/>
      <c r="C1104"/>
      <c r="D1104"/>
      <c r="E1104"/>
      <c r="F1104"/>
      <c r="G1104"/>
      <c r="H1104"/>
      <c r="I1104"/>
      <c r="J1104"/>
      <c r="K1104"/>
      <c r="L1104"/>
      <c r="M1104"/>
      <c r="N1104"/>
      <c r="O1104"/>
      <c r="P1104"/>
      <c r="Q1104"/>
      <c r="R1104"/>
      <c r="S1104"/>
    </row>
    <row r="1105" spans="1:19" x14ac:dyDescent="0.25">
      <c r="A1105"/>
      <c r="B1105"/>
      <c r="C1105"/>
      <c r="D1105"/>
      <c r="E1105"/>
      <c r="F1105"/>
      <c r="G1105"/>
      <c r="H1105"/>
      <c r="I1105"/>
      <c r="J1105"/>
      <c r="K1105"/>
      <c r="L1105"/>
      <c r="M1105"/>
      <c r="N1105"/>
      <c r="O1105"/>
      <c r="P1105"/>
      <c r="Q1105"/>
      <c r="R1105"/>
      <c r="S1105"/>
    </row>
    <row r="1106" spans="1:19" x14ac:dyDescent="0.25">
      <c r="A1106"/>
      <c r="B1106"/>
      <c r="C1106"/>
      <c r="D1106"/>
      <c r="E1106"/>
      <c r="F1106"/>
      <c r="G1106"/>
      <c r="H1106"/>
      <c r="I1106"/>
      <c r="J1106"/>
      <c r="K1106"/>
      <c r="L1106"/>
      <c r="M1106"/>
      <c r="N1106"/>
      <c r="O1106"/>
      <c r="P1106"/>
      <c r="Q1106"/>
      <c r="R1106"/>
      <c r="S1106"/>
    </row>
    <row r="1107" spans="1:19" x14ac:dyDescent="0.25">
      <c r="A1107"/>
      <c r="B1107"/>
      <c r="C1107"/>
      <c r="D1107"/>
      <c r="E1107"/>
      <c r="F1107"/>
      <c r="G1107"/>
      <c r="H1107"/>
      <c r="I1107"/>
      <c r="J1107"/>
      <c r="K1107"/>
      <c r="L1107"/>
      <c r="M1107"/>
      <c r="N1107"/>
      <c r="O1107"/>
      <c r="P1107"/>
      <c r="Q1107"/>
      <c r="R1107"/>
      <c r="S1107"/>
    </row>
    <row r="1108" spans="1:19" x14ac:dyDescent="0.25">
      <c r="A1108"/>
      <c r="B1108"/>
      <c r="C1108"/>
      <c r="D1108"/>
      <c r="E1108"/>
      <c r="F1108"/>
      <c r="G1108"/>
      <c r="H1108"/>
      <c r="I1108"/>
      <c r="J1108"/>
      <c r="K1108"/>
      <c r="L1108"/>
      <c r="M1108"/>
      <c r="N1108"/>
      <c r="O1108"/>
      <c r="P1108"/>
      <c r="Q1108"/>
      <c r="R1108"/>
      <c r="S1108"/>
    </row>
    <row r="1109" spans="1:19" x14ac:dyDescent="0.25">
      <c r="A1109"/>
      <c r="B1109"/>
      <c r="C1109"/>
      <c r="D1109"/>
      <c r="E1109"/>
      <c r="F1109"/>
      <c r="G1109"/>
      <c r="H1109"/>
      <c r="I1109"/>
      <c r="J1109"/>
      <c r="K1109"/>
      <c r="L1109"/>
      <c r="M1109"/>
      <c r="N1109"/>
      <c r="O1109"/>
      <c r="P1109"/>
      <c r="Q1109"/>
      <c r="R1109"/>
      <c r="S1109"/>
    </row>
    <row r="1110" spans="1:19" x14ac:dyDescent="0.25">
      <c r="A1110"/>
      <c r="B1110"/>
      <c r="C1110"/>
      <c r="D1110"/>
      <c r="E1110"/>
      <c r="F1110"/>
      <c r="G1110"/>
      <c r="H1110"/>
      <c r="I1110"/>
      <c r="J1110"/>
      <c r="K1110"/>
      <c r="L1110"/>
      <c r="M1110"/>
      <c r="N1110"/>
      <c r="O1110"/>
      <c r="P1110"/>
      <c r="Q1110"/>
      <c r="R1110"/>
      <c r="S1110"/>
    </row>
    <row r="1111" spans="1:19" x14ac:dyDescent="0.25">
      <c r="A1111"/>
      <c r="B1111"/>
      <c r="C1111"/>
      <c r="D1111"/>
      <c r="E1111"/>
      <c r="F1111"/>
      <c r="G1111"/>
      <c r="H1111"/>
      <c r="I1111"/>
      <c r="J1111"/>
      <c r="K1111"/>
      <c r="L1111"/>
      <c r="M1111"/>
      <c r="N1111"/>
      <c r="O1111"/>
      <c r="P1111"/>
      <c r="Q1111"/>
      <c r="R1111"/>
      <c r="S1111"/>
    </row>
    <row r="1112" spans="1:19" x14ac:dyDescent="0.25">
      <c r="A1112"/>
      <c r="B1112"/>
      <c r="C1112"/>
      <c r="D1112"/>
      <c r="E1112"/>
      <c r="F1112"/>
      <c r="G1112"/>
      <c r="H1112"/>
      <c r="I1112"/>
      <c r="J1112"/>
      <c r="K1112"/>
      <c r="L1112"/>
      <c r="M1112"/>
      <c r="N1112"/>
      <c r="O1112"/>
      <c r="P1112"/>
      <c r="Q1112"/>
      <c r="R1112"/>
      <c r="S1112"/>
    </row>
    <row r="1113" spans="1:19" x14ac:dyDescent="0.25">
      <c r="A1113"/>
      <c r="B1113"/>
      <c r="C1113"/>
      <c r="D1113"/>
      <c r="E1113"/>
      <c r="F1113"/>
      <c r="G1113"/>
      <c r="H1113"/>
      <c r="I1113"/>
      <c r="J1113"/>
      <c r="K1113"/>
      <c r="L1113"/>
      <c r="M1113"/>
      <c r="N1113"/>
      <c r="O1113"/>
      <c r="P1113"/>
      <c r="Q1113"/>
      <c r="R1113"/>
      <c r="S1113"/>
    </row>
    <row r="1114" spans="1:19" x14ac:dyDescent="0.25">
      <c r="A1114"/>
      <c r="B1114"/>
      <c r="C1114"/>
      <c r="D1114"/>
      <c r="E1114"/>
      <c r="F1114"/>
      <c r="G1114"/>
      <c r="H1114"/>
      <c r="I1114"/>
      <c r="J1114"/>
      <c r="K1114"/>
      <c r="L1114"/>
      <c r="M1114"/>
      <c r="N1114"/>
      <c r="O1114"/>
      <c r="P1114"/>
      <c r="Q1114"/>
      <c r="R1114"/>
      <c r="S1114"/>
    </row>
    <row r="1115" spans="1:19" x14ac:dyDescent="0.25">
      <c r="A1115"/>
      <c r="B1115"/>
      <c r="C1115"/>
      <c r="D1115"/>
      <c r="E1115"/>
      <c r="F1115"/>
      <c r="G1115"/>
      <c r="H1115"/>
      <c r="I1115"/>
      <c r="J1115"/>
      <c r="K1115"/>
      <c r="L1115"/>
      <c r="M1115"/>
      <c r="N1115"/>
      <c r="O1115"/>
      <c r="P1115"/>
      <c r="Q1115"/>
      <c r="R1115"/>
      <c r="S1115"/>
    </row>
    <row r="1116" spans="1:19" x14ac:dyDescent="0.25">
      <c r="A1116"/>
      <c r="B1116"/>
      <c r="C1116"/>
      <c r="D1116"/>
      <c r="E1116"/>
      <c r="F1116"/>
      <c r="G1116"/>
      <c r="H1116"/>
      <c r="I1116"/>
      <c r="J1116"/>
      <c r="K1116"/>
      <c r="L1116"/>
      <c r="M1116"/>
      <c r="N1116"/>
      <c r="O1116"/>
      <c r="P1116"/>
      <c r="Q1116"/>
      <c r="R1116"/>
      <c r="S1116"/>
    </row>
    <row r="1117" spans="1:19" x14ac:dyDescent="0.25">
      <c r="A1117"/>
      <c r="B1117"/>
      <c r="C1117"/>
      <c r="D1117"/>
      <c r="E1117"/>
      <c r="F1117"/>
      <c r="G1117"/>
      <c r="H1117"/>
      <c r="I1117"/>
      <c r="J1117"/>
      <c r="K1117"/>
      <c r="L1117"/>
      <c r="M1117"/>
      <c r="N1117"/>
      <c r="O1117"/>
      <c r="P1117"/>
      <c r="Q1117"/>
      <c r="R1117"/>
      <c r="S1117"/>
    </row>
    <row r="1118" spans="1:19" x14ac:dyDescent="0.25">
      <c r="A1118"/>
      <c r="B1118"/>
      <c r="C1118"/>
      <c r="D1118"/>
      <c r="E1118"/>
      <c r="F1118"/>
      <c r="G1118"/>
      <c r="H1118"/>
      <c r="I1118"/>
      <c r="J1118"/>
      <c r="K1118"/>
      <c r="L1118"/>
      <c r="M1118"/>
      <c r="N1118"/>
      <c r="O1118"/>
      <c r="P1118"/>
      <c r="Q1118"/>
      <c r="R1118"/>
      <c r="S1118"/>
    </row>
    <row r="1119" spans="1:19" x14ac:dyDescent="0.25">
      <c r="A1119"/>
      <c r="B1119"/>
      <c r="C1119"/>
      <c r="D1119"/>
      <c r="E1119"/>
      <c r="F1119"/>
      <c r="G1119"/>
      <c r="H1119"/>
      <c r="I1119"/>
      <c r="J1119"/>
      <c r="K1119"/>
      <c r="L1119"/>
      <c r="M1119"/>
      <c r="N1119"/>
      <c r="O1119"/>
      <c r="P1119"/>
      <c r="Q1119"/>
      <c r="R1119"/>
      <c r="S1119"/>
    </row>
    <row r="1120" spans="1:19" x14ac:dyDescent="0.25">
      <c r="A1120"/>
      <c r="B1120"/>
      <c r="C1120"/>
      <c r="D1120"/>
      <c r="E1120"/>
      <c r="F1120"/>
      <c r="G1120"/>
      <c r="H1120"/>
      <c r="I1120"/>
      <c r="J1120"/>
      <c r="K1120"/>
      <c r="L1120"/>
      <c r="M1120"/>
      <c r="N1120"/>
      <c r="O1120"/>
      <c r="P1120"/>
      <c r="Q1120"/>
      <c r="R1120"/>
      <c r="S1120"/>
    </row>
    <row r="1121" spans="1:19" x14ac:dyDescent="0.25">
      <c r="A1121"/>
      <c r="B1121"/>
      <c r="C1121"/>
      <c r="D1121"/>
      <c r="E1121"/>
      <c r="F1121"/>
      <c r="G1121"/>
      <c r="H1121"/>
      <c r="I1121"/>
      <c r="J1121"/>
      <c r="K1121"/>
      <c r="L1121"/>
      <c r="M1121"/>
      <c r="N1121"/>
      <c r="O1121"/>
      <c r="P1121"/>
      <c r="Q1121"/>
      <c r="R1121"/>
      <c r="S1121"/>
    </row>
    <row r="1122" spans="1:19" x14ac:dyDescent="0.25">
      <c r="A1122"/>
      <c r="B1122"/>
      <c r="C1122"/>
      <c r="D1122"/>
      <c r="E1122"/>
      <c r="F1122"/>
      <c r="G1122"/>
      <c r="H1122"/>
      <c r="I1122"/>
      <c r="J1122"/>
      <c r="K1122"/>
      <c r="L1122"/>
      <c r="M1122"/>
      <c r="N1122"/>
      <c r="O1122"/>
      <c r="P1122"/>
      <c r="Q1122"/>
      <c r="R1122"/>
      <c r="S1122"/>
    </row>
    <row r="1123" spans="1:19" x14ac:dyDescent="0.25">
      <c r="A1123"/>
      <c r="B1123"/>
      <c r="C1123"/>
      <c r="D1123"/>
      <c r="E1123"/>
      <c r="F1123"/>
      <c r="G1123"/>
      <c r="H1123"/>
      <c r="I1123"/>
      <c r="J1123"/>
      <c r="K1123"/>
      <c r="L1123"/>
      <c r="M1123"/>
      <c r="N1123"/>
      <c r="O1123"/>
      <c r="P1123"/>
      <c r="Q1123"/>
      <c r="R1123"/>
      <c r="S1123"/>
    </row>
    <row r="1124" spans="1:19" x14ac:dyDescent="0.25">
      <c r="A1124"/>
      <c r="B1124"/>
      <c r="C1124"/>
      <c r="D1124"/>
      <c r="E1124"/>
      <c r="F1124"/>
      <c r="G1124"/>
      <c r="H1124"/>
      <c r="I1124"/>
      <c r="J1124"/>
      <c r="K1124"/>
      <c r="L1124"/>
      <c r="M1124"/>
      <c r="N1124"/>
      <c r="O1124"/>
      <c r="P1124"/>
      <c r="Q1124"/>
      <c r="R1124"/>
      <c r="S1124"/>
    </row>
    <row r="1125" spans="1:19" x14ac:dyDescent="0.25">
      <c r="A1125"/>
      <c r="B1125"/>
      <c r="C1125"/>
      <c r="D1125"/>
      <c r="E1125"/>
      <c r="F1125"/>
      <c r="G1125"/>
      <c r="H1125"/>
      <c r="I1125"/>
      <c r="J1125"/>
      <c r="K1125"/>
      <c r="L1125"/>
      <c r="M1125"/>
      <c r="N1125"/>
      <c r="O1125"/>
      <c r="P1125"/>
      <c r="Q1125"/>
      <c r="R1125"/>
      <c r="S1125"/>
    </row>
    <row r="1126" spans="1:19" x14ac:dyDescent="0.25">
      <c r="A1126"/>
      <c r="B1126"/>
      <c r="C1126"/>
      <c r="D1126"/>
      <c r="E1126"/>
      <c r="F1126"/>
      <c r="G1126"/>
      <c r="H1126"/>
      <c r="I1126"/>
      <c r="J1126"/>
      <c r="K1126"/>
      <c r="L1126"/>
      <c r="M1126"/>
      <c r="N1126"/>
      <c r="O1126"/>
      <c r="P1126"/>
      <c r="Q1126"/>
      <c r="R1126"/>
      <c r="S1126"/>
    </row>
    <row r="1127" spans="1:19" x14ac:dyDescent="0.25">
      <c r="A1127"/>
      <c r="B1127"/>
      <c r="C1127"/>
      <c r="D1127"/>
      <c r="E1127"/>
      <c r="F1127"/>
      <c r="G1127"/>
      <c r="H1127"/>
      <c r="I1127"/>
      <c r="J1127"/>
      <c r="K1127"/>
      <c r="L1127"/>
      <c r="M1127"/>
      <c r="N1127"/>
      <c r="O1127"/>
      <c r="P1127"/>
      <c r="Q1127"/>
      <c r="R1127"/>
      <c r="S1127"/>
    </row>
    <row r="1128" spans="1:19" x14ac:dyDescent="0.25">
      <c r="A1128"/>
      <c r="B1128"/>
      <c r="C1128"/>
      <c r="D1128"/>
      <c r="E1128"/>
      <c r="F1128"/>
      <c r="G1128"/>
      <c r="H1128"/>
      <c r="I1128"/>
      <c r="J1128"/>
      <c r="K1128"/>
      <c r="L1128"/>
      <c r="M1128"/>
      <c r="N1128"/>
      <c r="O1128"/>
      <c r="P1128"/>
      <c r="Q1128"/>
      <c r="R1128"/>
      <c r="S1128"/>
    </row>
    <row r="1129" spans="1:19" x14ac:dyDescent="0.25">
      <c r="A1129"/>
      <c r="B1129"/>
      <c r="C1129"/>
      <c r="D1129"/>
      <c r="E1129"/>
      <c r="F1129"/>
      <c r="G1129"/>
      <c r="H1129"/>
      <c r="I1129"/>
      <c r="J1129"/>
      <c r="K1129"/>
      <c r="L1129"/>
      <c r="M1129"/>
      <c r="N1129"/>
      <c r="O1129"/>
      <c r="P1129"/>
      <c r="Q1129"/>
      <c r="R1129"/>
      <c r="S1129"/>
    </row>
    <row r="1130" spans="1:19" x14ac:dyDescent="0.25">
      <c r="A1130"/>
      <c r="B1130"/>
      <c r="C1130"/>
      <c r="D1130"/>
      <c r="E1130"/>
      <c r="F1130"/>
      <c r="G1130"/>
      <c r="H1130"/>
      <c r="I1130"/>
      <c r="J1130"/>
      <c r="K1130"/>
      <c r="L1130"/>
      <c r="M1130"/>
      <c r="N1130"/>
      <c r="O1130"/>
      <c r="P1130"/>
      <c r="Q1130"/>
      <c r="R1130"/>
      <c r="S1130"/>
    </row>
    <row r="1131" spans="1:19" x14ac:dyDescent="0.25">
      <c r="A1131"/>
      <c r="B1131"/>
      <c r="C1131"/>
      <c r="D1131"/>
      <c r="E1131"/>
      <c r="F1131"/>
      <c r="G1131"/>
      <c r="H1131"/>
      <c r="I1131"/>
      <c r="J1131"/>
      <c r="K1131"/>
      <c r="L1131"/>
      <c r="M1131"/>
      <c r="N1131"/>
      <c r="O1131"/>
      <c r="P1131"/>
      <c r="Q1131"/>
      <c r="R1131"/>
      <c r="S1131"/>
    </row>
    <row r="1132" spans="1:19" x14ac:dyDescent="0.25">
      <c r="A1132"/>
      <c r="B1132"/>
      <c r="C1132"/>
      <c r="D1132"/>
      <c r="E1132"/>
      <c r="F1132"/>
      <c r="G1132"/>
      <c r="H1132"/>
      <c r="I1132"/>
      <c r="J1132"/>
      <c r="K1132"/>
      <c r="L1132"/>
      <c r="M1132"/>
      <c r="N1132"/>
      <c r="O1132"/>
      <c r="P1132"/>
      <c r="Q1132"/>
      <c r="R1132"/>
      <c r="S1132"/>
    </row>
    <row r="1133" spans="1:19" x14ac:dyDescent="0.25">
      <c r="A1133"/>
      <c r="B1133"/>
      <c r="C1133"/>
      <c r="D1133"/>
      <c r="E1133"/>
      <c r="F1133"/>
      <c r="G1133"/>
      <c r="H1133"/>
      <c r="I1133"/>
      <c r="J1133"/>
      <c r="K1133"/>
      <c r="L1133"/>
      <c r="M1133"/>
      <c r="N1133"/>
      <c r="O1133"/>
      <c r="P1133"/>
      <c r="Q1133"/>
      <c r="R1133"/>
      <c r="S1133"/>
    </row>
    <row r="1134" spans="1:19" x14ac:dyDescent="0.25">
      <c r="A1134"/>
      <c r="B1134"/>
      <c r="C1134"/>
      <c r="D1134"/>
      <c r="E1134"/>
      <c r="F1134"/>
      <c r="G1134"/>
      <c r="H1134"/>
      <c r="I1134"/>
      <c r="J1134"/>
      <c r="K1134"/>
      <c r="L1134"/>
      <c r="M1134"/>
      <c r="N1134"/>
      <c r="O1134"/>
      <c r="P1134"/>
      <c r="Q1134"/>
      <c r="R1134"/>
      <c r="S1134"/>
    </row>
    <row r="1135" spans="1:19" x14ac:dyDescent="0.25">
      <c r="A1135"/>
      <c r="B1135"/>
      <c r="C1135"/>
      <c r="D1135"/>
      <c r="E1135"/>
      <c r="F1135"/>
      <c r="G1135"/>
      <c r="H1135"/>
      <c r="I1135"/>
      <c r="J1135"/>
      <c r="K1135"/>
      <c r="L1135"/>
      <c r="M1135"/>
      <c r="N1135"/>
      <c r="O1135"/>
      <c r="P1135"/>
      <c r="Q1135"/>
      <c r="R1135"/>
      <c r="S1135"/>
    </row>
    <row r="1136" spans="1:19" x14ac:dyDescent="0.25">
      <c r="A1136"/>
      <c r="B1136"/>
      <c r="C1136"/>
      <c r="D1136"/>
      <c r="E1136"/>
      <c r="F1136"/>
      <c r="G1136"/>
      <c r="H1136"/>
      <c r="I1136"/>
      <c r="J1136"/>
      <c r="K1136"/>
      <c r="L1136"/>
      <c r="M1136"/>
      <c r="N1136"/>
      <c r="O1136"/>
      <c r="P1136"/>
      <c r="Q1136"/>
      <c r="R1136"/>
      <c r="S1136"/>
    </row>
    <row r="1137" spans="1:19" x14ac:dyDescent="0.25">
      <c r="A1137"/>
      <c r="B1137"/>
      <c r="C1137"/>
      <c r="D1137"/>
      <c r="E1137"/>
      <c r="F1137"/>
      <c r="G1137"/>
      <c r="H1137"/>
      <c r="I1137"/>
      <c r="J1137"/>
      <c r="K1137"/>
      <c r="L1137"/>
      <c r="M1137"/>
      <c r="N1137"/>
      <c r="O1137"/>
      <c r="P1137"/>
      <c r="Q1137"/>
      <c r="R1137"/>
      <c r="S1137"/>
    </row>
    <row r="1138" spans="1:19" x14ac:dyDescent="0.25">
      <c r="A1138"/>
      <c r="B1138"/>
      <c r="C1138"/>
      <c r="D1138"/>
      <c r="E1138"/>
      <c r="F1138"/>
      <c r="G1138"/>
      <c r="H1138"/>
      <c r="I1138"/>
      <c r="J1138"/>
      <c r="K1138"/>
      <c r="L1138"/>
      <c r="M1138"/>
      <c r="N1138"/>
      <c r="O1138"/>
      <c r="P1138"/>
      <c r="Q1138"/>
      <c r="R1138"/>
      <c r="S1138"/>
    </row>
    <row r="1139" spans="1:19" x14ac:dyDescent="0.25">
      <c r="A1139"/>
      <c r="B1139"/>
      <c r="C1139"/>
      <c r="D1139"/>
      <c r="E1139"/>
      <c r="F1139"/>
      <c r="G1139"/>
      <c r="H1139"/>
      <c r="I1139"/>
      <c r="J1139"/>
      <c r="K1139"/>
      <c r="L1139"/>
      <c r="M1139"/>
      <c r="N1139"/>
      <c r="O1139"/>
      <c r="P1139"/>
      <c r="Q1139"/>
      <c r="R1139"/>
      <c r="S1139"/>
    </row>
    <row r="1140" spans="1:19" x14ac:dyDescent="0.25">
      <c r="A1140"/>
      <c r="B1140"/>
      <c r="C1140"/>
      <c r="D1140"/>
      <c r="E1140"/>
      <c r="F1140"/>
      <c r="G1140"/>
      <c r="H1140"/>
      <c r="I1140"/>
      <c r="J1140"/>
      <c r="K1140"/>
      <c r="L1140"/>
      <c r="M1140"/>
      <c r="N1140"/>
      <c r="O1140"/>
      <c r="P1140"/>
      <c r="Q1140"/>
      <c r="R1140"/>
      <c r="S1140"/>
    </row>
    <row r="1141" spans="1:19" x14ac:dyDescent="0.25">
      <c r="A1141"/>
      <c r="B1141"/>
      <c r="C1141"/>
      <c r="D1141"/>
      <c r="E1141"/>
      <c r="F1141"/>
      <c r="G1141"/>
      <c r="H1141"/>
      <c r="I1141"/>
      <c r="J1141"/>
      <c r="K1141"/>
      <c r="L1141"/>
      <c r="M1141"/>
      <c r="N1141"/>
      <c r="O1141"/>
      <c r="P1141"/>
      <c r="Q1141"/>
      <c r="R1141"/>
      <c r="S1141"/>
    </row>
    <row r="1142" spans="1:19" x14ac:dyDescent="0.25">
      <c r="A1142"/>
      <c r="B1142"/>
      <c r="C1142"/>
      <c r="D1142"/>
      <c r="E1142"/>
      <c r="F1142"/>
      <c r="G1142"/>
      <c r="H1142"/>
      <c r="I1142"/>
      <c r="J1142"/>
      <c r="K1142"/>
      <c r="L1142"/>
      <c r="M1142"/>
      <c r="N1142"/>
      <c r="O1142"/>
      <c r="P1142"/>
      <c r="Q1142"/>
      <c r="R1142"/>
      <c r="S1142"/>
    </row>
    <row r="1143" spans="1:19" x14ac:dyDescent="0.25">
      <c r="A1143"/>
      <c r="B1143"/>
      <c r="C1143"/>
      <c r="D1143"/>
      <c r="E1143"/>
      <c r="F1143"/>
      <c r="G1143"/>
      <c r="H1143"/>
      <c r="I1143"/>
      <c r="J1143"/>
      <c r="K1143"/>
      <c r="L1143"/>
      <c r="M1143"/>
      <c r="N1143"/>
      <c r="O1143"/>
      <c r="P1143"/>
      <c r="Q1143"/>
      <c r="R1143"/>
      <c r="S1143"/>
    </row>
    <row r="1144" spans="1:19" x14ac:dyDescent="0.25">
      <c r="A1144"/>
      <c r="B1144"/>
      <c r="C1144"/>
      <c r="D1144"/>
      <c r="E1144"/>
      <c r="F1144"/>
      <c r="G1144"/>
      <c r="H1144"/>
      <c r="I1144"/>
      <c r="J1144"/>
      <c r="K1144"/>
      <c r="L1144"/>
      <c r="M1144"/>
      <c r="N1144"/>
      <c r="O1144"/>
      <c r="P1144"/>
      <c r="Q1144"/>
      <c r="R1144"/>
      <c r="S1144"/>
    </row>
    <row r="1145" spans="1:19" x14ac:dyDescent="0.25">
      <c r="A1145"/>
      <c r="B1145"/>
      <c r="C1145"/>
      <c r="D1145"/>
      <c r="E1145"/>
      <c r="F1145"/>
      <c r="G1145"/>
      <c r="H1145"/>
      <c r="I1145"/>
      <c r="J1145"/>
      <c r="K1145"/>
      <c r="L1145"/>
      <c r="M1145"/>
      <c r="N1145"/>
      <c r="O1145"/>
      <c r="P1145"/>
      <c r="Q1145"/>
      <c r="R1145"/>
      <c r="S1145"/>
    </row>
    <row r="1146" spans="1:19" x14ac:dyDescent="0.25">
      <c r="A1146"/>
      <c r="B1146"/>
      <c r="C1146"/>
      <c r="D1146"/>
      <c r="E1146"/>
      <c r="F1146"/>
      <c r="G1146"/>
      <c r="H1146"/>
      <c r="I1146"/>
      <c r="J1146"/>
      <c r="K1146"/>
      <c r="L1146"/>
      <c r="M1146"/>
      <c r="N1146"/>
      <c r="O1146"/>
      <c r="P1146"/>
      <c r="Q1146"/>
      <c r="R1146"/>
      <c r="S1146"/>
    </row>
    <row r="1147" spans="1:19" x14ac:dyDescent="0.25">
      <c r="A1147"/>
      <c r="B1147"/>
      <c r="C1147"/>
      <c r="D1147"/>
      <c r="E1147"/>
      <c r="F1147"/>
      <c r="G1147"/>
      <c r="H1147"/>
      <c r="I1147"/>
      <c r="J1147"/>
      <c r="K1147"/>
      <c r="L1147"/>
      <c r="M1147"/>
      <c r="N1147"/>
      <c r="O1147"/>
      <c r="P1147"/>
      <c r="Q1147"/>
      <c r="R1147"/>
      <c r="S1147"/>
    </row>
    <row r="1148" spans="1:19" x14ac:dyDescent="0.25">
      <c r="A1148"/>
      <c r="B1148"/>
      <c r="C1148"/>
      <c r="D1148"/>
      <c r="E1148"/>
      <c r="F1148"/>
      <c r="G1148"/>
      <c r="H1148"/>
      <c r="I1148"/>
      <c r="J1148"/>
      <c r="K1148"/>
      <c r="L1148"/>
      <c r="M1148"/>
      <c r="N1148"/>
      <c r="O1148"/>
      <c r="P1148"/>
      <c r="Q1148"/>
      <c r="R1148"/>
      <c r="S1148"/>
    </row>
    <row r="1149" spans="1:19" x14ac:dyDescent="0.25">
      <c r="A1149"/>
      <c r="B1149"/>
      <c r="C1149"/>
      <c r="D1149"/>
      <c r="E1149"/>
      <c r="F1149"/>
      <c r="G1149"/>
      <c r="H1149"/>
      <c r="I1149"/>
      <c r="J1149"/>
      <c r="K1149"/>
      <c r="L1149"/>
      <c r="M1149"/>
      <c r="N1149"/>
      <c r="O1149"/>
      <c r="P1149"/>
      <c r="Q1149"/>
      <c r="R1149"/>
      <c r="S1149"/>
    </row>
    <row r="1150" spans="1:19" x14ac:dyDescent="0.25">
      <c r="A1150"/>
      <c r="B1150"/>
      <c r="C1150"/>
      <c r="D1150"/>
      <c r="E1150"/>
      <c r="F1150"/>
      <c r="G1150"/>
      <c r="H1150"/>
      <c r="I1150"/>
      <c r="J1150"/>
      <c r="K1150"/>
      <c r="L1150"/>
      <c r="M1150"/>
      <c r="N1150"/>
      <c r="O1150"/>
      <c r="P1150"/>
      <c r="Q1150"/>
      <c r="R1150"/>
      <c r="S1150"/>
    </row>
    <row r="1151" spans="1:19" x14ac:dyDescent="0.25">
      <c r="A1151"/>
      <c r="B1151"/>
      <c r="C1151"/>
      <c r="D1151"/>
      <c r="E1151"/>
      <c r="F1151"/>
      <c r="G1151"/>
      <c r="H1151"/>
      <c r="I1151"/>
      <c r="J1151"/>
      <c r="K1151"/>
      <c r="L1151"/>
      <c r="M1151"/>
      <c r="N1151"/>
      <c r="O1151"/>
      <c r="P1151"/>
      <c r="Q1151"/>
      <c r="R1151"/>
      <c r="S1151"/>
    </row>
    <row r="1152" spans="1:19" x14ac:dyDescent="0.25">
      <c r="A1152"/>
      <c r="B1152"/>
      <c r="C1152"/>
      <c r="D1152"/>
      <c r="E1152"/>
      <c r="F1152"/>
      <c r="G1152"/>
      <c r="H1152"/>
      <c r="I1152"/>
      <c r="J1152"/>
      <c r="K1152"/>
      <c r="L1152"/>
      <c r="M1152"/>
      <c r="N1152"/>
      <c r="O1152"/>
      <c r="P1152"/>
      <c r="Q1152"/>
      <c r="R1152"/>
      <c r="S1152"/>
    </row>
    <row r="1153" spans="1:19" x14ac:dyDescent="0.25">
      <c r="A1153"/>
      <c r="B1153"/>
      <c r="C1153"/>
      <c r="D1153"/>
      <c r="E1153"/>
      <c r="F1153"/>
      <c r="G1153"/>
      <c r="H1153"/>
      <c r="I1153"/>
      <c r="J1153"/>
      <c r="K1153"/>
      <c r="L1153"/>
      <c r="M1153"/>
      <c r="N1153"/>
      <c r="O1153"/>
      <c r="P1153"/>
      <c r="Q1153"/>
      <c r="R1153"/>
      <c r="S1153"/>
    </row>
    <row r="1154" spans="1:19" x14ac:dyDescent="0.25">
      <c r="A1154"/>
      <c r="B1154"/>
      <c r="C1154"/>
      <c r="D1154"/>
      <c r="E1154"/>
      <c r="F1154"/>
      <c r="G1154"/>
      <c r="H1154"/>
      <c r="I1154"/>
      <c r="J1154"/>
      <c r="K1154"/>
      <c r="L1154"/>
      <c r="M1154"/>
      <c r="N1154"/>
      <c r="O1154"/>
      <c r="P1154"/>
      <c r="Q1154"/>
      <c r="R1154"/>
      <c r="S1154"/>
    </row>
    <row r="1155" spans="1:19" x14ac:dyDescent="0.25">
      <c r="A1155"/>
      <c r="B1155"/>
      <c r="C1155"/>
      <c r="D1155"/>
      <c r="E1155"/>
      <c r="F1155"/>
      <c r="G1155"/>
      <c r="H1155"/>
      <c r="I1155"/>
      <c r="J1155"/>
      <c r="K1155"/>
      <c r="L1155"/>
      <c r="M1155"/>
      <c r="N1155"/>
      <c r="O1155"/>
      <c r="P1155"/>
      <c r="Q1155"/>
      <c r="R1155"/>
      <c r="S1155"/>
    </row>
    <row r="1156" spans="1:19" x14ac:dyDescent="0.25">
      <c r="A1156"/>
      <c r="B1156"/>
      <c r="C1156"/>
      <c r="D1156"/>
      <c r="E1156"/>
      <c r="F1156"/>
      <c r="G1156"/>
      <c r="H1156"/>
      <c r="I1156"/>
      <c r="J1156"/>
      <c r="K1156"/>
      <c r="L1156"/>
      <c r="M1156"/>
      <c r="N1156"/>
      <c r="O1156"/>
      <c r="P1156"/>
      <c r="Q1156"/>
      <c r="R1156"/>
      <c r="S1156"/>
    </row>
    <row r="1157" spans="1:19" x14ac:dyDescent="0.25">
      <c r="A1157"/>
      <c r="B1157"/>
      <c r="C1157"/>
      <c r="D1157"/>
      <c r="E1157"/>
      <c r="F1157"/>
      <c r="G1157"/>
      <c r="H1157"/>
      <c r="I1157"/>
      <c r="J1157"/>
      <c r="K1157"/>
      <c r="L1157"/>
      <c r="M1157"/>
      <c r="N1157"/>
      <c r="O1157"/>
      <c r="P1157"/>
      <c r="Q1157"/>
      <c r="R1157"/>
      <c r="S1157"/>
    </row>
    <row r="1158" spans="1:19" x14ac:dyDescent="0.25">
      <c r="A1158"/>
      <c r="B1158"/>
      <c r="C1158"/>
      <c r="D1158"/>
      <c r="E1158"/>
      <c r="F1158"/>
      <c r="G1158"/>
      <c r="H1158"/>
      <c r="I1158"/>
      <c r="J1158"/>
      <c r="K1158"/>
      <c r="L1158"/>
      <c r="M1158"/>
      <c r="N1158"/>
      <c r="O1158"/>
      <c r="P1158"/>
      <c r="Q1158"/>
      <c r="R1158"/>
      <c r="S1158"/>
    </row>
    <row r="1159" spans="1:19" x14ac:dyDescent="0.25">
      <c r="A1159"/>
      <c r="B1159"/>
      <c r="C1159"/>
      <c r="D1159"/>
      <c r="E1159"/>
      <c r="F1159"/>
      <c r="G1159"/>
      <c r="H1159"/>
      <c r="I1159"/>
      <c r="J1159"/>
      <c r="K1159"/>
      <c r="L1159"/>
      <c r="M1159"/>
      <c r="N1159"/>
      <c r="O1159"/>
      <c r="P1159"/>
      <c r="Q1159"/>
      <c r="R1159"/>
      <c r="S1159"/>
    </row>
    <row r="1160" spans="1:19" x14ac:dyDescent="0.25">
      <c r="A1160"/>
      <c r="B1160"/>
      <c r="C1160"/>
      <c r="D1160"/>
      <c r="E1160"/>
      <c r="F1160"/>
      <c r="G1160"/>
      <c r="H1160"/>
      <c r="I1160"/>
      <c r="J1160"/>
      <c r="K1160"/>
      <c r="L1160"/>
      <c r="M1160"/>
      <c r="N1160"/>
      <c r="O1160"/>
      <c r="P1160"/>
      <c r="Q1160"/>
      <c r="R1160"/>
      <c r="S1160"/>
    </row>
    <row r="1161" spans="1:19" x14ac:dyDescent="0.25">
      <c r="A1161"/>
      <c r="B1161"/>
      <c r="C1161"/>
      <c r="D1161"/>
      <c r="E1161"/>
      <c r="F1161"/>
      <c r="G1161"/>
      <c r="H1161"/>
      <c r="I1161"/>
      <c r="J1161"/>
      <c r="K1161"/>
      <c r="L1161"/>
      <c r="M1161"/>
      <c r="N1161"/>
      <c r="O1161"/>
      <c r="P1161"/>
      <c r="Q1161"/>
      <c r="R1161"/>
      <c r="S1161"/>
    </row>
    <row r="1162" spans="1:19" x14ac:dyDescent="0.25">
      <c r="A1162"/>
      <c r="B1162"/>
      <c r="C1162"/>
      <c r="D1162"/>
      <c r="E1162"/>
      <c r="F1162"/>
      <c r="G1162"/>
      <c r="H1162"/>
      <c r="I1162"/>
      <c r="J1162"/>
      <c r="K1162"/>
      <c r="L1162"/>
      <c r="M1162"/>
      <c r="N1162"/>
      <c r="O1162"/>
      <c r="P1162"/>
      <c r="Q1162"/>
      <c r="R1162"/>
      <c r="S1162"/>
    </row>
    <row r="1163" spans="1:19" x14ac:dyDescent="0.25">
      <c r="A1163"/>
      <c r="B1163"/>
      <c r="C1163"/>
      <c r="D1163"/>
      <c r="E1163"/>
      <c r="F1163"/>
      <c r="G1163"/>
      <c r="H1163"/>
      <c r="I1163"/>
      <c r="J1163"/>
      <c r="K1163"/>
      <c r="L1163"/>
      <c r="M1163"/>
      <c r="N1163"/>
      <c r="O1163"/>
      <c r="P1163"/>
      <c r="Q1163"/>
      <c r="R1163"/>
      <c r="S1163"/>
    </row>
    <row r="1164" spans="1:19" x14ac:dyDescent="0.25">
      <c r="A1164"/>
      <c r="B1164"/>
      <c r="C1164"/>
      <c r="D1164"/>
      <c r="E1164"/>
      <c r="F1164"/>
      <c r="G1164"/>
      <c r="H1164"/>
      <c r="I1164"/>
      <c r="J1164"/>
      <c r="K1164"/>
      <c r="L1164"/>
      <c r="M1164"/>
      <c r="N1164"/>
      <c r="O1164"/>
      <c r="P1164"/>
      <c r="Q1164"/>
      <c r="R1164"/>
      <c r="S1164"/>
    </row>
    <row r="1165" spans="1:19" x14ac:dyDescent="0.25">
      <c r="A1165"/>
      <c r="B1165"/>
      <c r="C1165"/>
      <c r="D1165"/>
      <c r="E1165"/>
      <c r="F1165"/>
      <c r="G1165"/>
      <c r="H1165"/>
      <c r="I1165"/>
      <c r="J1165"/>
      <c r="K1165"/>
      <c r="L1165"/>
      <c r="M1165"/>
      <c r="N1165"/>
      <c r="O1165"/>
      <c r="P1165"/>
      <c r="Q1165"/>
      <c r="R1165"/>
      <c r="S1165"/>
    </row>
    <row r="1166" spans="1:19" x14ac:dyDescent="0.25">
      <c r="A1166"/>
      <c r="B1166"/>
      <c r="C1166"/>
      <c r="D1166"/>
      <c r="E1166"/>
      <c r="F1166"/>
      <c r="G1166"/>
      <c r="H1166"/>
      <c r="I1166"/>
      <c r="J1166"/>
      <c r="K1166"/>
      <c r="L1166"/>
      <c r="M1166"/>
      <c r="N1166"/>
      <c r="O1166"/>
      <c r="P1166"/>
      <c r="Q1166"/>
      <c r="R1166"/>
      <c r="S1166"/>
    </row>
    <row r="1167" spans="1:19" x14ac:dyDescent="0.25">
      <c r="A1167"/>
      <c r="B1167"/>
      <c r="C1167"/>
      <c r="D1167"/>
      <c r="E1167"/>
      <c r="F1167"/>
      <c r="G1167"/>
      <c r="H1167"/>
      <c r="I1167"/>
      <c r="J1167"/>
      <c r="K1167"/>
      <c r="L1167"/>
      <c r="M1167"/>
      <c r="N1167"/>
      <c r="O1167"/>
      <c r="P1167"/>
      <c r="Q1167"/>
      <c r="R1167"/>
      <c r="S1167"/>
    </row>
    <row r="1168" spans="1:19" x14ac:dyDescent="0.25">
      <c r="A1168"/>
      <c r="B1168"/>
      <c r="C1168"/>
      <c r="D1168"/>
      <c r="E1168"/>
      <c r="F1168"/>
      <c r="G1168"/>
      <c r="H1168"/>
      <c r="I1168"/>
      <c r="J1168"/>
      <c r="K1168"/>
      <c r="L1168"/>
      <c r="M1168"/>
      <c r="N1168"/>
      <c r="O1168"/>
      <c r="P1168"/>
      <c r="Q1168"/>
      <c r="R1168"/>
      <c r="S1168"/>
    </row>
    <row r="1169" spans="1:19" x14ac:dyDescent="0.25">
      <c r="A1169"/>
      <c r="B1169"/>
      <c r="C1169"/>
      <c r="D1169"/>
      <c r="E1169"/>
      <c r="F1169"/>
      <c r="G1169"/>
      <c r="H1169"/>
      <c r="I1169"/>
      <c r="J1169"/>
      <c r="K1169"/>
      <c r="L1169"/>
      <c r="M1169"/>
      <c r="N1169"/>
      <c r="O1169"/>
      <c r="P1169"/>
      <c r="Q1169"/>
      <c r="R1169"/>
      <c r="S1169"/>
    </row>
    <row r="1170" spans="1:19" x14ac:dyDescent="0.25">
      <c r="A1170"/>
      <c r="B1170"/>
      <c r="C1170"/>
      <c r="D1170"/>
      <c r="E1170"/>
      <c r="F1170"/>
      <c r="G1170"/>
      <c r="H1170"/>
      <c r="I1170"/>
      <c r="J1170"/>
      <c r="K1170"/>
      <c r="L1170"/>
      <c r="M1170"/>
      <c r="N1170"/>
      <c r="O1170"/>
      <c r="P1170"/>
      <c r="Q1170"/>
      <c r="R1170"/>
      <c r="S1170"/>
    </row>
    <row r="1171" spans="1:19" x14ac:dyDescent="0.25">
      <c r="A1171"/>
      <c r="B1171"/>
      <c r="C1171"/>
      <c r="D1171"/>
      <c r="E1171"/>
      <c r="F1171"/>
      <c r="G1171"/>
      <c r="H1171"/>
      <c r="I1171"/>
      <c r="J1171"/>
      <c r="K1171"/>
      <c r="L1171"/>
      <c r="M1171"/>
      <c r="N1171"/>
      <c r="O1171"/>
      <c r="P1171"/>
      <c r="Q1171"/>
      <c r="R1171"/>
      <c r="S1171"/>
    </row>
    <row r="1172" spans="1:19" x14ac:dyDescent="0.25">
      <c r="A1172"/>
      <c r="B1172"/>
      <c r="C1172"/>
      <c r="D1172"/>
      <c r="E1172"/>
      <c r="F1172"/>
      <c r="G1172"/>
      <c r="H1172"/>
      <c r="I1172"/>
      <c r="J1172"/>
      <c r="K1172"/>
      <c r="L1172"/>
      <c r="M1172"/>
      <c r="N1172"/>
      <c r="O1172"/>
      <c r="P1172"/>
      <c r="Q1172"/>
      <c r="R1172"/>
      <c r="S1172"/>
    </row>
    <row r="1173" spans="1:19" x14ac:dyDescent="0.25">
      <c r="A1173"/>
      <c r="B1173"/>
      <c r="C1173"/>
      <c r="D1173"/>
      <c r="E1173"/>
      <c r="F1173"/>
      <c r="G1173"/>
      <c r="H1173"/>
      <c r="I1173"/>
      <c r="J1173"/>
      <c r="K1173"/>
      <c r="L1173"/>
      <c r="M1173"/>
      <c r="N1173"/>
      <c r="O1173"/>
      <c r="P1173"/>
      <c r="Q1173"/>
      <c r="R1173"/>
      <c r="S1173"/>
    </row>
    <row r="1174" spans="1:19" x14ac:dyDescent="0.25">
      <c r="A1174"/>
      <c r="B1174"/>
      <c r="C1174"/>
      <c r="D1174"/>
      <c r="E1174"/>
      <c r="F1174"/>
      <c r="G1174"/>
      <c r="H1174"/>
      <c r="I1174"/>
      <c r="J1174"/>
      <c r="K1174"/>
      <c r="L1174"/>
      <c r="M1174"/>
      <c r="N1174"/>
      <c r="O1174"/>
      <c r="P1174"/>
      <c r="Q1174"/>
      <c r="R1174"/>
      <c r="S1174"/>
    </row>
    <row r="1175" spans="1:19" x14ac:dyDescent="0.25">
      <c r="A1175"/>
      <c r="B1175"/>
      <c r="C1175"/>
      <c r="D1175"/>
      <c r="E1175"/>
      <c r="F1175"/>
      <c r="G1175"/>
      <c r="H1175"/>
      <c r="I1175"/>
      <c r="J1175"/>
      <c r="K1175"/>
      <c r="L1175"/>
      <c r="M1175"/>
      <c r="N1175"/>
      <c r="O1175"/>
      <c r="P1175"/>
      <c r="Q1175"/>
      <c r="R1175"/>
      <c r="S1175"/>
    </row>
    <row r="1176" spans="1:19" x14ac:dyDescent="0.25">
      <c r="A1176"/>
      <c r="B1176"/>
      <c r="C1176"/>
      <c r="D1176"/>
      <c r="E1176"/>
      <c r="F1176"/>
      <c r="G1176"/>
      <c r="H1176"/>
      <c r="I1176"/>
      <c r="J1176"/>
      <c r="K1176"/>
      <c r="L1176"/>
      <c r="M1176"/>
      <c r="N1176"/>
      <c r="O1176"/>
      <c r="P1176"/>
      <c r="Q1176"/>
      <c r="R1176"/>
      <c r="S1176"/>
    </row>
    <row r="1177" spans="1:19" x14ac:dyDescent="0.25">
      <c r="A1177"/>
      <c r="B1177"/>
      <c r="C1177"/>
      <c r="D1177"/>
      <c r="E1177"/>
      <c r="F1177"/>
      <c r="G1177"/>
      <c r="H1177"/>
      <c r="I1177"/>
      <c r="J1177"/>
      <c r="K1177"/>
      <c r="L1177"/>
      <c r="M1177"/>
      <c r="N1177"/>
      <c r="O1177"/>
      <c r="P1177"/>
      <c r="Q1177"/>
      <c r="R1177"/>
      <c r="S1177"/>
    </row>
    <row r="1178" spans="1:19" x14ac:dyDescent="0.25">
      <c r="A1178"/>
      <c r="B1178"/>
      <c r="C1178"/>
      <c r="D1178"/>
      <c r="E1178"/>
      <c r="F1178"/>
      <c r="G1178"/>
      <c r="H1178"/>
      <c r="I1178"/>
      <c r="J1178"/>
      <c r="K1178"/>
      <c r="L1178"/>
      <c r="M1178"/>
      <c r="N1178"/>
      <c r="O1178"/>
      <c r="P1178"/>
      <c r="Q1178"/>
      <c r="R1178"/>
      <c r="S1178"/>
    </row>
    <row r="1179" spans="1:19" x14ac:dyDescent="0.25">
      <c r="A1179"/>
      <c r="B1179"/>
      <c r="C1179"/>
      <c r="D1179"/>
      <c r="E1179"/>
      <c r="F1179"/>
      <c r="G1179"/>
      <c r="H1179"/>
      <c r="I1179"/>
      <c r="J1179"/>
      <c r="K1179"/>
      <c r="L1179"/>
      <c r="M1179"/>
      <c r="N1179"/>
      <c r="O1179"/>
      <c r="P1179"/>
      <c r="Q1179"/>
      <c r="R1179"/>
      <c r="S1179"/>
    </row>
    <row r="1180" spans="1:19" x14ac:dyDescent="0.25">
      <c r="A1180"/>
      <c r="B1180"/>
      <c r="C1180"/>
      <c r="D1180"/>
      <c r="E1180"/>
      <c r="F1180"/>
      <c r="G1180"/>
      <c r="H1180"/>
      <c r="I1180"/>
      <c r="J1180"/>
      <c r="K1180"/>
      <c r="L1180"/>
      <c r="M1180"/>
      <c r="N1180"/>
      <c r="O1180"/>
      <c r="P1180"/>
      <c r="Q1180"/>
      <c r="R1180"/>
      <c r="S1180"/>
    </row>
    <row r="1181" spans="1:19" x14ac:dyDescent="0.25">
      <c r="A1181"/>
      <c r="B1181"/>
      <c r="C1181"/>
      <c r="D1181"/>
      <c r="E1181"/>
      <c r="F1181"/>
      <c r="G1181"/>
      <c r="H1181"/>
      <c r="I1181"/>
      <c r="J1181"/>
      <c r="K1181"/>
      <c r="L1181"/>
      <c r="M1181"/>
      <c r="N1181"/>
      <c r="O1181"/>
      <c r="P1181"/>
      <c r="Q1181"/>
      <c r="R1181"/>
      <c r="S1181"/>
    </row>
    <row r="1182" spans="1:19" x14ac:dyDescent="0.25">
      <c r="A1182"/>
      <c r="B1182"/>
      <c r="C1182"/>
      <c r="D1182"/>
      <c r="E1182"/>
      <c r="F1182"/>
      <c r="G1182"/>
      <c r="H1182"/>
      <c r="I1182"/>
      <c r="J1182"/>
      <c r="K1182"/>
      <c r="L1182"/>
      <c r="M1182"/>
      <c r="N1182"/>
      <c r="O1182"/>
      <c r="P1182"/>
      <c r="Q1182"/>
      <c r="R1182"/>
      <c r="S1182"/>
    </row>
    <row r="1183" spans="1:19" x14ac:dyDescent="0.25">
      <c r="A1183"/>
      <c r="B1183"/>
      <c r="C1183"/>
      <c r="D1183"/>
      <c r="E1183"/>
      <c r="F1183"/>
      <c r="G1183"/>
      <c r="H1183"/>
      <c r="I1183"/>
      <c r="J1183"/>
      <c r="K1183"/>
      <c r="L1183"/>
      <c r="M1183"/>
      <c r="N1183"/>
      <c r="O1183"/>
      <c r="P1183"/>
      <c r="Q1183"/>
      <c r="R1183"/>
      <c r="S1183"/>
    </row>
    <row r="1184" spans="1:19" x14ac:dyDescent="0.25">
      <c r="A1184"/>
      <c r="B1184"/>
      <c r="C1184"/>
      <c r="D1184"/>
      <c r="E1184"/>
      <c r="F1184"/>
      <c r="G1184"/>
      <c r="H1184"/>
      <c r="I1184"/>
      <c r="J1184"/>
      <c r="K1184"/>
      <c r="L1184"/>
      <c r="M1184"/>
      <c r="N1184"/>
      <c r="O1184"/>
      <c r="P1184"/>
      <c r="Q1184"/>
      <c r="R1184"/>
      <c r="S1184"/>
    </row>
    <row r="1185" spans="1:19" x14ac:dyDescent="0.25">
      <c r="A1185"/>
      <c r="B1185"/>
      <c r="C1185"/>
      <c r="D1185"/>
      <c r="E1185"/>
      <c r="F1185"/>
      <c r="G1185"/>
      <c r="H1185"/>
      <c r="I1185"/>
      <c r="J1185"/>
      <c r="K1185"/>
      <c r="L1185"/>
      <c r="M1185"/>
      <c r="N1185"/>
      <c r="O1185"/>
      <c r="P1185"/>
      <c r="Q1185"/>
      <c r="R1185"/>
      <c r="S1185"/>
    </row>
    <row r="1186" spans="1:19" x14ac:dyDescent="0.25">
      <c r="A1186"/>
      <c r="B1186"/>
      <c r="C1186"/>
      <c r="D1186"/>
      <c r="E1186"/>
      <c r="F1186"/>
      <c r="G1186"/>
      <c r="H1186"/>
      <c r="I1186"/>
      <c r="J1186"/>
      <c r="K1186"/>
      <c r="L1186"/>
      <c r="M1186"/>
      <c r="N1186"/>
      <c r="O1186"/>
      <c r="P1186"/>
      <c r="Q1186"/>
      <c r="R1186"/>
      <c r="S1186"/>
    </row>
    <row r="1187" spans="1:19" x14ac:dyDescent="0.25">
      <c r="A1187"/>
      <c r="B1187"/>
      <c r="C1187"/>
      <c r="D1187"/>
      <c r="E1187"/>
      <c r="F1187"/>
      <c r="G1187"/>
      <c r="H1187"/>
      <c r="I1187"/>
      <c r="J1187"/>
      <c r="K1187"/>
      <c r="L1187"/>
      <c r="M1187"/>
      <c r="N1187"/>
      <c r="O1187"/>
      <c r="P1187"/>
      <c r="Q1187"/>
      <c r="R1187"/>
      <c r="S1187"/>
    </row>
    <row r="1188" spans="1:19" x14ac:dyDescent="0.25">
      <c r="A1188"/>
      <c r="B1188"/>
      <c r="C1188"/>
      <c r="D1188"/>
      <c r="E1188"/>
      <c r="F1188"/>
      <c r="G1188"/>
      <c r="H1188"/>
      <c r="I1188"/>
      <c r="J1188"/>
      <c r="K1188"/>
      <c r="L1188"/>
      <c r="M1188"/>
      <c r="N1188"/>
      <c r="O1188"/>
      <c r="P1188"/>
      <c r="Q1188"/>
      <c r="R1188"/>
      <c r="S1188"/>
    </row>
    <row r="1189" spans="1:19" x14ac:dyDescent="0.25">
      <c r="A1189"/>
      <c r="B1189"/>
      <c r="C1189"/>
      <c r="D1189"/>
      <c r="E1189"/>
      <c r="F1189"/>
      <c r="G1189"/>
      <c r="H1189"/>
      <c r="I1189"/>
      <c r="J1189"/>
      <c r="K1189"/>
      <c r="L1189"/>
      <c r="M1189"/>
      <c r="N1189"/>
      <c r="O1189"/>
      <c r="P1189"/>
      <c r="Q1189"/>
      <c r="R1189"/>
      <c r="S1189"/>
    </row>
    <row r="1190" spans="1:19" x14ac:dyDescent="0.25">
      <c r="A1190"/>
      <c r="B1190"/>
      <c r="C1190"/>
      <c r="D1190"/>
      <c r="E1190"/>
      <c r="F1190"/>
      <c r="G1190"/>
      <c r="H1190"/>
      <c r="I1190"/>
      <c r="J1190"/>
      <c r="K1190"/>
      <c r="L1190"/>
      <c r="M1190"/>
      <c r="N1190"/>
      <c r="O1190"/>
      <c r="P1190"/>
      <c r="Q1190"/>
      <c r="R1190"/>
      <c r="S1190"/>
    </row>
    <row r="1191" spans="1:19" x14ac:dyDescent="0.25">
      <c r="A1191"/>
      <c r="B1191"/>
      <c r="C1191"/>
      <c r="D1191"/>
      <c r="E1191"/>
      <c r="F1191"/>
      <c r="G1191"/>
      <c r="H1191"/>
      <c r="I1191"/>
      <c r="J1191"/>
      <c r="K1191"/>
      <c r="L1191"/>
      <c r="M1191"/>
      <c r="N1191"/>
      <c r="O1191"/>
      <c r="P1191"/>
      <c r="Q1191"/>
      <c r="R1191"/>
      <c r="S1191"/>
    </row>
    <row r="1192" spans="1:19" x14ac:dyDescent="0.25">
      <c r="A1192"/>
      <c r="B1192"/>
      <c r="C1192"/>
      <c r="D1192"/>
      <c r="E1192"/>
      <c r="F1192"/>
      <c r="G1192"/>
      <c r="H1192"/>
      <c r="I1192"/>
      <c r="J1192"/>
      <c r="K1192"/>
      <c r="L1192"/>
      <c r="M1192"/>
      <c r="N1192"/>
      <c r="O1192"/>
      <c r="P1192"/>
      <c r="Q1192"/>
      <c r="R1192"/>
      <c r="S1192"/>
    </row>
    <row r="1193" spans="1:19" x14ac:dyDescent="0.25">
      <c r="A1193"/>
      <c r="B1193"/>
      <c r="C1193"/>
      <c r="D1193"/>
      <c r="E1193"/>
      <c r="F1193"/>
      <c r="G1193"/>
      <c r="H1193"/>
      <c r="I1193"/>
      <c r="J1193"/>
      <c r="K1193"/>
      <c r="L1193"/>
      <c r="M1193"/>
      <c r="N1193"/>
      <c r="O1193"/>
      <c r="P1193"/>
      <c r="Q1193"/>
      <c r="R1193"/>
      <c r="S1193"/>
    </row>
    <row r="1194" spans="1:19" x14ac:dyDescent="0.25">
      <c r="A1194"/>
      <c r="B1194"/>
      <c r="C1194"/>
      <c r="D1194"/>
      <c r="E1194"/>
      <c r="F1194"/>
      <c r="G1194"/>
      <c r="H1194"/>
      <c r="I1194"/>
      <c r="J1194"/>
      <c r="K1194"/>
      <c r="L1194"/>
      <c r="M1194"/>
      <c r="N1194"/>
      <c r="O1194"/>
      <c r="P1194"/>
      <c r="Q1194"/>
      <c r="R1194"/>
      <c r="S1194"/>
    </row>
    <row r="1195" spans="1:19" x14ac:dyDescent="0.25">
      <c r="A1195"/>
      <c r="B1195"/>
      <c r="C1195"/>
      <c r="D1195"/>
      <c r="E1195"/>
      <c r="F1195"/>
      <c r="G1195"/>
      <c r="H1195"/>
      <c r="I1195"/>
      <c r="J1195"/>
      <c r="K1195"/>
      <c r="L1195"/>
      <c r="M1195"/>
      <c r="N1195"/>
      <c r="O1195"/>
      <c r="P1195"/>
      <c r="Q1195"/>
      <c r="R1195"/>
      <c r="S1195"/>
    </row>
    <row r="1196" spans="1:19" x14ac:dyDescent="0.25">
      <c r="A1196"/>
      <c r="B1196"/>
      <c r="C1196"/>
      <c r="D1196"/>
      <c r="E1196"/>
      <c r="F1196"/>
      <c r="G1196"/>
      <c r="H1196"/>
      <c r="I1196"/>
      <c r="J1196"/>
      <c r="K1196"/>
      <c r="L1196"/>
      <c r="M1196"/>
      <c r="N1196"/>
      <c r="O1196"/>
      <c r="P1196"/>
      <c r="Q1196"/>
      <c r="R1196"/>
      <c r="S1196"/>
    </row>
    <row r="1197" spans="1:19" x14ac:dyDescent="0.25">
      <c r="A1197"/>
      <c r="B1197"/>
      <c r="C1197"/>
      <c r="D1197"/>
      <c r="E1197"/>
      <c r="F1197"/>
      <c r="G1197"/>
      <c r="H1197"/>
      <c r="I1197"/>
      <c r="J1197"/>
      <c r="K1197"/>
      <c r="L1197"/>
      <c r="M1197"/>
      <c r="N1197"/>
      <c r="O1197"/>
      <c r="P1197"/>
      <c r="Q1197"/>
      <c r="R1197"/>
      <c r="S1197"/>
    </row>
    <row r="1198" spans="1:19" x14ac:dyDescent="0.25">
      <c r="A1198"/>
      <c r="B1198"/>
      <c r="C1198"/>
      <c r="D1198"/>
      <c r="E1198"/>
      <c r="F1198"/>
      <c r="G1198"/>
      <c r="H1198"/>
      <c r="I1198"/>
      <c r="J1198"/>
      <c r="K1198"/>
      <c r="L1198"/>
      <c r="M1198"/>
      <c r="N1198"/>
      <c r="O1198"/>
      <c r="P1198"/>
      <c r="Q1198"/>
      <c r="R1198"/>
      <c r="S1198"/>
    </row>
    <row r="1199" spans="1:19" x14ac:dyDescent="0.25">
      <c r="A1199"/>
      <c r="B1199"/>
      <c r="C1199"/>
      <c r="D1199"/>
      <c r="E1199"/>
      <c r="F1199"/>
      <c r="G1199"/>
      <c r="H1199"/>
      <c r="I1199"/>
      <c r="J1199"/>
      <c r="K1199"/>
      <c r="L1199"/>
      <c r="M1199"/>
      <c r="N1199"/>
      <c r="O1199"/>
      <c r="P1199"/>
      <c r="Q1199"/>
      <c r="R1199"/>
      <c r="S1199"/>
    </row>
    <row r="1200" spans="1:19" x14ac:dyDescent="0.25">
      <c r="A1200"/>
      <c r="B1200"/>
      <c r="C1200"/>
      <c r="D1200"/>
      <c r="E1200"/>
      <c r="F1200"/>
      <c r="G1200"/>
      <c r="H1200"/>
      <c r="I1200"/>
      <c r="J1200"/>
      <c r="K1200"/>
      <c r="L1200"/>
      <c r="M1200"/>
      <c r="N1200"/>
      <c r="O1200"/>
      <c r="P1200"/>
      <c r="Q1200"/>
      <c r="R1200"/>
      <c r="S1200"/>
    </row>
    <row r="1201" spans="1:19" x14ac:dyDescent="0.25">
      <c r="A1201"/>
      <c r="B1201"/>
      <c r="C1201"/>
      <c r="D1201"/>
      <c r="E1201"/>
      <c r="F1201"/>
      <c r="G1201"/>
      <c r="H1201"/>
      <c r="I1201"/>
      <c r="J1201"/>
      <c r="K1201"/>
      <c r="L1201"/>
      <c r="M1201"/>
      <c r="N1201"/>
      <c r="O1201"/>
      <c r="P1201"/>
      <c r="Q1201"/>
      <c r="R1201"/>
      <c r="S1201"/>
    </row>
    <row r="1202" spans="1:19" x14ac:dyDescent="0.25">
      <c r="A1202"/>
      <c r="B1202"/>
      <c r="C1202"/>
      <c r="D1202"/>
      <c r="E1202"/>
      <c r="F1202"/>
      <c r="G1202"/>
      <c r="H1202"/>
      <c r="I1202"/>
      <c r="J1202"/>
      <c r="K1202"/>
      <c r="L1202"/>
      <c r="M1202"/>
      <c r="N1202"/>
      <c r="O1202"/>
      <c r="P1202"/>
      <c r="Q1202"/>
      <c r="R1202"/>
      <c r="S1202"/>
    </row>
    <row r="1203" spans="1:19" x14ac:dyDescent="0.25">
      <c r="A1203"/>
      <c r="B1203"/>
      <c r="C1203"/>
      <c r="D1203"/>
      <c r="E1203"/>
      <c r="F1203"/>
      <c r="G1203"/>
      <c r="H1203"/>
      <c r="I1203"/>
      <c r="J1203"/>
      <c r="K1203"/>
      <c r="L1203"/>
      <c r="M1203"/>
      <c r="N1203"/>
      <c r="O1203"/>
      <c r="P1203"/>
      <c r="Q1203"/>
      <c r="R1203"/>
      <c r="S1203"/>
    </row>
    <row r="1204" spans="1:19" x14ac:dyDescent="0.25">
      <c r="A1204"/>
      <c r="B1204"/>
      <c r="C1204"/>
      <c r="D1204"/>
      <c r="E1204"/>
      <c r="F1204"/>
      <c r="G1204"/>
      <c r="H1204"/>
      <c r="I1204"/>
      <c r="J1204"/>
      <c r="K1204"/>
      <c r="L1204"/>
      <c r="M1204"/>
      <c r="N1204"/>
      <c r="O1204"/>
      <c r="P1204"/>
      <c r="Q1204"/>
      <c r="R1204"/>
      <c r="S1204"/>
    </row>
    <row r="1205" spans="1:19" x14ac:dyDescent="0.25">
      <c r="A1205"/>
      <c r="B1205"/>
      <c r="C1205"/>
      <c r="D1205"/>
      <c r="E1205"/>
      <c r="F1205"/>
      <c r="G1205"/>
      <c r="H1205"/>
      <c r="I1205"/>
      <c r="J1205"/>
      <c r="K1205"/>
      <c r="L1205"/>
      <c r="M1205"/>
      <c r="N1205"/>
      <c r="O1205"/>
      <c r="P1205"/>
      <c r="Q1205"/>
      <c r="R1205"/>
      <c r="S1205"/>
    </row>
    <row r="1206" spans="1:19" x14ac:dyDescent="0.25">
      <c r="A1206"/>
      <c r="B1206"/>
      <c r="C1206"/>
      <c r="D1206"/>
      <c r="E1206"/>
      <c r="F1206"/>
      <c r="G1206"/>
      <c r="H1206"/>
      <c r="I1206"/>
      <c r="J1206"/>
      <c r="K1206"/>
      <c r="L1206"/>
      <c r="M1206"/>
      <c r="N1206"/>
      <c r="O1206"/>
      <c r="P1206"/>
      <c r="Q1206"/>
      <c r="R1206"/>
      <c r="S1206"/>
    </row>
    <row r="1207" spans="1:19" x14ac:dyDescent="0.25">
      <c r="A1207"/>
      <c r="B1207"/>
      <c r="C1207"/>
      <c r="D1207"/>
      <c r="E1207"/>
      <c r="F1207"/>
      <c r="G1207"/>
      <c r="H1207"/>
      <c r="I1207"/>
      <c r="J1207"/>
      <c r="K1207"/>
      <c r="L1207"/>
      <c r="M1207"/>
      <c r="N1207"/>
      <c r="O1207"/>
      <c r="P1207"/>
      <c r="Q1207"/>
      <c r="R1207"/>
      <c r="S1207"/>
    </row>
    <row r="1208" spans="1:19" x14ac:dyDescent="0.25">
      <c r="A1208"/>
      <c r="B1208"/>
      <c r="C1208"/>
      <c r="D1208"/>
      <c r="E1208"/>
      <c r="F1208"/>
      <c r="G1208"/>
      <c r="H1208"/>
      <c r="I1208"/>
      <c r="J1208"/>
      <c r="K1208"/>
      <c r="L1208"/>
      <c r="M1208"/>
      <c r="N1208"/>
      <c r="O1208"/>
      <c r="P1208"/>
      <c r="Q1208"/>
      <c r="R1208"/>
      <c r="S1208"/>
    </row>
    <row r="1209" spans="1:19" x14ac:dyDescent="0.25">
      <c r="A1209"/>
      <c r="B1209"/>
      <c r="C1209"/>
      <c r="D1209"/>
      <c r="E1209"/>
      <c r="F1209"/>
      <c r="G1209"/>
      <c r="H1209"/>
      <c r="I1209"/>
      <c r="J1209"/>
      <c r="K1209"/>
      <c r="L1209"/>
      <c r="M1209"/>
      <c r="N1209"/>
      <c r="O1209"/>
      <c r="P1209"/>
      <c r="Q1209"/>
      <c r="R1209"/>
      <c r="S1209"/>
    </row>
    <row r="1210" spans="1:19" x14ac:dyDescent="0.25">
      <c r="A1210"/>
      <c r="B1210"/>
      <c r="C1210"/>
      <c r="D1210"/>
      <c r="E1210"/>
      <c r="F1210"/>
      <c r="G1210"/>
      <c r="H1210"/>
      <c r="I1210"/>
      <c r="J1210"/>
      <c r="K1210"/>
      <c r="L1210"/>
      <c r="M1210"/>
      <c r="N1210"/>
      <c r="O1210"/>
      <c r="P1210"/>
      <c r="Q1210"/>
      <c r="R1210"/>
      <c r="S1210"/>
    </row>
    <row r="1211" spans="1:19" x14ac:dyDescent="0.25">
      <c r="A1211"/>
      <c r="B1211"/>
      <c r="C1211"/>
      <c r="D1211"/>
      <c r="E1211"/>
      <c r="F1211"/>
      <c r="G1211"/>
      <c r="H1211"/>
      <c r="I1211"/>
      <c r="J1211"/>
      <c r="K1211"/>
      <c r="L1211"/>
      <c r="M1211"/>
      <c r="N1211"/>
      <c r="O1211"/>
      <c r="P1211"/>
      <c r="Q1211"/>
      <c r="R1211"/>
      <c r="S1211"/>
    </row>
    <row r="1212" spans="1:19" x14ac:dyDescent="0.25">
      <c r="A1212"/>
      <c r="B1212"/>
      <c r="C1212"/>
      <c r="D1212"/>
      <c r="E1212"/>
      <c r="F1212"/>
      <c r="G1212"/>
      <c r="H1212"/>
      <c r="I1212"/>
      <c r="J1212"/>
      <c r="K1212"/>
      <c r="L1212"/>
      <c r="M1212"/>
      <c r="N1212"/>
      <c r="O1212"/>
      <c r="P1212"/>
      <c r="Q1212"/>
      <c r="R1212"/>
      <c r="S1212"/>
    </row>
    <row r="1213" spans="1:19" x14ac:dyDescent="0.25">
      <c r="A1213"/>
      <c r="B1213"/>
      <c r="C1213"/>
      <c r="D1213"/>
      <c r="E1213"/>
      <c r="F1213"/>
      <c r="G1213"/>
      <c r="H1213"/>
      <c r="I1213"/>
      <c r="J1213"/>
      <c r="K1213"/>
      <c r="L1213"/>
      <c r="M1213"/>
      <c r="N1213"/>
      <c r="O1213"/>
      <c r="P1213"/>
      <c r="Q1213"/>
      <c r="R1213"/>
      <c r="S1213"/>
    </row>
    <row r="1214" spans="1:19" x14ac:dyDescent="0.25">
      <c r="A1214"/>
      <c r="B1214"/>
      <c r="C1214"/>
      <c r="D1214"/>
      <c r="E1214"/>
      <c r="F1214"/>
      <c r="G1214"/>
      <c r="H1214"/>
      <c r="I1214"/>
      <c r="J1214"/>
      <c r="K1214"/>
      <c r="L1214"/>
      <c r="M1214"/>
      <c r="N1214"/>
      <c r="O1214"/>
      <c r="P1214"/>
      <c r="Q1214"/>
      <c r="R1214"/>
      <c r="S1214"/>
    </row>
    <row r="1215" spans="1:19" x14ac:dyDescent="0.25">
      <c r="A1215"/>
      <c r="B1215"/>
      <c r="C1215"/>
      <c r="D1215"/>
      <c r="E1215"/>
      <c r="F1215"/>
      <c r="G1215"/>
      <c r="H1215"/>
      <c r="I1215"/>
      <c r="J1215"/>
      <c r="K1215"/>
      <c r="L1215"/>
      <c r="M1215"/>
      <c r="N1215"/>
      <c r="O1215"/>
      <c r="P1215"/>
      <c r="Q1215"/>
      <c r="R1215"/>
      <c r="S1215"/>
    </row>
    <row r="1216" spans="1:19" x14ac:dyDescent="0.25">
      <c r="A1216"/>
      <c r="B1216"/>
      <c r="C1216"/>
      <c r="D1216"/>
      <c r="E1216"/>
      <c r="F1216"/>
      <c r="G1216"/>
      <c r="H1216"/>
      <c r="I1216"/>
      <c r="J1216"/>
      <c r="K1216"/>
      <c r="L1216"/>
      <c r="M1216"/>
      <c r="N1216"/>
      <c r="O1216"/>
      <c r="P1216"/>
      <c r="Q1216"/>
      <c r="R1216"/>
      <c r="S1216"/>
    </row>
    <row r="1217" spans="1:19" x14ac:dyDescent="0.25">
      <c r="A1217"/>
      <c r="B1217"/>
      <c r="C1217"/>
      <c r="D1217"/>
      <c r="E1217"/>
      <c r="F1217"/>
      <c r="G1217"/>
      <c r="H1217"/>
      <c r="I1217"/>
      <c r="J1217"/>
      <c r="K1217"/>
      <c r="L1217"/>
      <c r="M1217"/>
      <c r="N1217"/>
      <c r="O1217"/>
      <c r="P1217"/>
      <c r="Q1217"/>
      <c r="R1217"/>
      <c r="S1217"/>
    </row>
    <row r="1218" spans="1:19" x14ac:dyDescent="0.25">
      <c r="A1218"/>
      <c r="B1218"/>
      <c r="C1218"/>
      <c r="D1218"/>
      <c r="E1218"/>
      <c r="F1218"/>
      <c r="G1218"/>
      <c r="H1218"/>
      <c r="I1218"/>
      <c r="J1218"/>
      <c r="K1218"/>
      <c r="L1218"/>
      <c r="M1218"/>
      <c r="N1218"/>
      <c r="O1218"/>
      <c r="P1218"/>
      <c r="Q1218"/>
      <c r="R1218"/>
      <c r="S1218"/>
    </row>
    <row r="1219" spans="1:19" x14ac:dyDescent="0.25">
      <c r="A1219"/>
      <c r="B1219"/>
      <c r="C1219"/>
      <c r="D1219"/>
      <c r="E1219"/>
      <c r="F1219"/>
      <c r="G1219"/>
      <c r="H1219"/>
      <c r="I1219"/>
      <c r="J1219"/>
      <c r="K1219"/>
      <c r="L1219"/>
      <c r="M1219"/>
      <c r="N1219"/>
      <c r="O1219"/>
      <c r="P1219"/>
      <c r="Q1219"/>
      <c r="R1219"/>
      <c r="S1219"/>
    </row>
    <row r="1220" spans="1:19" x14ac:dyDescent="0.25">
      <c r="A1220"/>
      <c r="B1220"/>
      <c r="C1220"/>
      <c r="D1220"/>
      <c r="E1220"/>
      <c r="F1220"/>
      <c r="G1220"/>
      <c r="H1220"/>
      <c r="I1220"/>
      <c r="J1220"/>
      <c r="K1220"/>
      <c r="L1220"/>
      <c r="M1220"/>
      <c r="N1220"/>
      <c r="O1220"/>
      <c r="P1220"/>
      <c r="Q1220"/>
      <c r="R1220"/>
      <c r="S1220"/>
    </row>
    <row r="1221" spans="1:19" x14ac:dyDescent="0.25">
      <c r="A1221"/>
      <c r="B1221"/>
      <c r="C1221"/>
      <c r="D1221"/>
      <c r="E1221"/>
      <c r="F1221"/>
      <c r="G1221"/>
      <c r="H1221"/>
      <c r="I1221"/>
      <c r="J1221"/>
      <c r="K1221"/>
      <c r="L1221"/>
      <c r="M1221"/>
      <c r="N1221"/>
      <c r="O1221"/>
      <c r="P1221"/>
      <c r="Q1221"/>
      <c r="R1221"/>
      <c r="S1221"/>
    </row>
    <row r="1222" spans="1:19" x14ac:dyDescent="0.25">
      <c r="A1222"/>
      <c r="B1222"/>
      <c r="C1222"/>
      <c r="D1222"/>
      <c r="E1222"/>
      <c r="F1222"/>
      <c r="G1222"/>
      <c r="H1222"/>
      <c r="I1222"/>
      <c r="J1222"/>
      <c r="K1222"/>
      <c r="L1222"/>
      <c r="M1222"/>
      <c r="N1222"/>
      <c r="O1222"/>
      <c r="P1222"/>
      <c r="Q1222"/>
      <c r="R1222"/>
      <c r="S1222"/>
    </row>
    <row r="1223" spans="1:19" x14ac:dyDescent="0.25">
      <c r="A1223"/>
      <c r="B1223"/>
      <c r="C1223"/>
      <c r="D1223"/>
      <c r="E1223"/>
      <c r="F1223"/>
      <c r="G1223"/>
      <c r="H1223"/>
      <c r="I1223"/>
      <c r="J1223"/>
      <c r="K1223"/>
      <c r="L1223"/>
      <c r="M1223"/>
      <c r="N1223"/>
      <c r="O1223"/>
      <c r="P1223"/>
      <c r="Q1223"/>
      <c r="R1223"/>
      <c r="S1223"/>
    </row>
    <row r="1224" spans="1:19" x14ac:dyDescent="0.25">
      <c r="A1224"/>
      <c r="B1224"/>
      <c r="C1224"/>
      <c r="D1224"/>
      <c r="E1224"/>
      <c r="F1224"/>
      <c r="G1224"/>
      <c r="H1224"/>
      <c r="I1224"/>
      <c r="J1224"/>
      <c r="K1224"/>
      <c r="L1224"/>
      <c r="M1224"/>
      <c r="N1224"/>
      <c r="O1224"/>
      <c r="P1224"/>
      <c r="Q1224"/>
      <c r="R1224"/>
      <c r="S1224"/>
    </row>
    <row r="1225" spans="1:19" x14ac:dyDescent="0.25">
      <c r="A1225"/>
      <c r="B1225"/>
      <c r="C1225"/>
      <c r="D1225"/>
      <c r="E1225"/>
      <c r="F1225"/>
      <c r="G1225"/>
      <c r="H1225"/>
      <c r="I1225"/>
      <c r="J1225"/>
      <c r="K1225"/>
      <c r="L1225"/>
      <c r="M1225"/>
      <c r="N1225"/>
      <c r="O1225"/>
      <c r="P1225"/>
      <c r="Q1225"/>
      <c r="R1225"/>
      <c r="S1225"/>
    </row>
    <row r="1226" spans="1:19" x14ac:dyDescent="0.25">
      <c r="A1226"/>
      <c r="B1226"/>
      <c r="C1226"/>
      <c r="D1226"/>
      <c r="E1226"/>
      <c r="F1226"/>
      <c r="G1226"/>
      <c r="H1226"/>
      <c r="I1226"/>
      <c r="J1226"/>
      <c r="K1226"/>
      <c r="L1226"/>
      <c r="M1226"/>
      <c r="N1226"/>
      <c r="O1226"/>
      <c r="P1226"/>
      <c r="Q1226"/>
      <c r="R1226"/>
      <c r="S1226"/>
    </row>
    <row r="1227" spans="1:19" x14ac:dyDescent="0.25">
      <c r="A1227"/>
      <c r="B1227"/>
      <c r="C1227"/>
      <c r="D1227"/>
      <c r="E1227"/>
      <c r="F1227"/>
      <c r="G1227"/>
      <c r="H1227"/>
      <c r="I1227"/>
      <c r="J1227"/>
      <c r="K1227"/>
      <c r="L1227"/>
      <c r="M1227"/>
      <c r="N1227"/>
      <c r="O1227"/>
      <c r="P1227"/>
      <c r="Q1227"/>
      <c r="R1227"/>
      <c r="S1227"/>
    </row>
    <row r="1228" spans="1:19" x14ac:dyDescent="0.25">
      <c r="A1228"/>
      <c r="B1228"/>
      <c r="C1228"/>
      <c r="D1228"/>
      <c r="E1228"/>
      <c r="F1228"/>
      <c r="G1228"/>
      <c r="H1228"/>
      <c r="I1228"/>
      <c r="J1228"/>
      <c r="K1228"/>
      <c r="L1228"/>
      <c r="M1228"/>
      <c r="N1228"/>
      <c r="O1228"/>
      <c r="P1228"/>
      <c r="Q1228"/>
      <c r="R1228"/>
      <c r="S1228"/>
    </row>
    <row r="1229" spans="1:19" x14ac:dyDescent="0.25">
      <c r="A1229"/>
      <c r="B1229"/>
      <c r="C1229"/>
      <c r="D1229"/>
      <c r="E1229"/>
      <c r="F1229"/>
      <c r="G1229"/>
      <c r="H1229"/>
      <c r="I1229"/>
      <c r="J1229"/>
      <c r="K1229"/>
      <c r="L1229"/>
      <c r="M1229"/>
      <c r="N1229"/>
      <c r="O1229"/>
      <c r="P1229"/>
      <c r="Q1229"/>
      <c r="R1229"/>
      <c r="S1229"/>
    </row>
    <row r="1230" spans="1:19" x14ac:dyDescent="0.25">
      <c r="A1230"/>
      <c r="B1230"/>
      <c r="C1230"/>
      <c r="D1230"/>
      <c r="E1230"/>
      <c r="F1230"/>
      <c r="G1230"/>
      <c r="H1230"/>
      <c r="I1230"/>
      <c r="J1230"/>
      <c r="K1230"/>
      <c r="L1230"/>
      <c r="M1230"/>
      <c r="N1230"/>
      <c r="O1230"/>
      <c r="P1230"/>
      <c r="Q1230"/>
      <c r="R1230"/>
      <c r="S1230"/>
    </row>
    <row r="1231" spans="1:19" x14ac:dyDescent="0.25">
      <c r="A1231"/>
      <c r="B1231"/>
      <c r="C1231"/>
      <c r="D1231"/>
      <c r="E1231"/>
      <c r="F1231"/>
      <c r="G1231"/>
      <c r="H1231"/>
      <c r="I1231"/>
      <c r="J1231"/>
      <c r="K1231"/>
      <c r="L1231"/>
      <c r="M1231"/>
      <c r="N1231"/>
      <c r="O1231"/>
      <c r="P1231"/>
      <c r="Q1231"/>
      <c r="R1231"/>
      <c r="S1231"/>
    </row>
    <row r="1232" spans="1:19" x14ac:dyDescent="0.25">
      <c r="A1232"/>
      <c r="B1232"/>
      <c r="C1232"/>
      <c r="D1232"/>
      <c r="E1232"/>
      <c r="F1232"/>
      <c r="G1232"/>
      <c r="H1232"/>
      <c r="I1232"/>
      <c r="J1232"/>
      <c r="K1232"/>
      <c r="L1232"/>
      <c r="M1232"/>
      <c r="N1232"/>
      <c r="O1232"/>
      <c r="P1232"/>
      <c r="Q1232"/>
      <c r="R1232"/>
      <c r="S1232"/>
    </row>
    <row r="1233" spans="1:19" x14ac:dyDescent="0.25">
      <c r="A1233"/>
      <c r="B1233"/>
      <c r="C1233"/>
      <c r="D1233"/>
      <c r="E1233"/>
      <c r="F1233"/>
      <c r="G1233"/>
      <c r="H1233"/>
      <c r="I1233"/>
      <c r="J1233"/>
      <c r="K1233"/>
      <c r="L1233"/>
      <c r="M1233"/>
      <c r="N1233"/>
      <c r="O1233"/>
      <c r="P1233"/>
      <c r="Q1233"/>
      <c r="R1233"/>
      <c r="S1233"/>
    </row>
    <row r="1234" spans="1:19" x14ac:dyDescent="0.25">
      <c r="A1234"/>
      <c r="B1234"/>
      <c r="C1234"/>
      <c r="D1234"/>
      <c r="E1234"/>
      <c r="F1234"/>
      <c r="G1234"/>
      <c r="H1234"/>
      <c r="I1234"/>
      <c r="J1234"/>
      <c r="K1234"/>
      <c r="L1234"/>
      <c r="M1234"/>
      <c r="N1234"/>
      <c r="O1234"/>
      <c r="P1234"/>
      <c r="Q1234"/>
      <c r="R1234"/>
      <c r="S1234"/>
    </row>
    <row r="1235" spans="1:19" x14ac:dyDescent="0.25">
      <c r="A1235"/>
      <c r="B1235"/>
      <c r="C1235"/>
      <c r="D1235"/>
      <c r="E1235"/>
      <c r="F1235"/>
      <c r="G1235"/>
      <c r="H1235"/>
      <c r="I1235"/>
      <c r="J1235"/>
      <c r="K1235"/>
      <c r="L1235"/>
      <c r="M1235"/>
      <c r="N1235"/>
      <c r="O1235"/>
      <c r="P1235"/>
      <c r="Q1235"/>
      <c r="R1235"/>
      <c r="S1235"/>
    </row>
    <row r="1236" spans="1:19" x14ac:dyDescent="0.25">
      <c r="A1236"/>
      <c r="B1236"/>
      <c r="C1236"/>
      <c r="D1236"/>
      <c r="E1236"/>
      <c r="F1236"/>
      <c r="G1236"/>
      <c r="H1236"/>
      <c r="I1236"/>
      <c r="J1236"/>
      <c r="K1236"/>
      <c r="L1236"/>
      <c r="M1236"/>
      <c r="N1236"/>
      <c r="O1236"/>
      <c r="P1236"/>
      <c r="Q1236"/>
      <c r="R1236"/>
      <c r="S1236"/>
    </row>
    <row r="1237" spans="1:19" x14ac:dyDescent="0.25">
      <c r="A1237"/>
      <c r="B1237"/>
      <c r="C1237"/>
      <c r="D1237"/>
      <c r="E1237"/>
      <c r="F1237"/>
      <c r="G1237"/>
      <c r="H1237"/>
      <c r="I1237"/>
      <c r="J1237"/>
      <c r="K1237"/>
      <c r="L1237"/>
      <c r="M1237"/>
      <c r="N1237"/>
      <c r="O1237"/>
      <c r="P1237"/>
      <c r="Q1237"/>
      <c r="R1237"/>
      <c r="S1237"/>
    </row>
    <row r="1238" spans="1:19" x14ac:dyDescent="0.25">
      <c r="A1238"/>
      <c r="B1238"/>
      <c r="C1238"/>
      <c r="D1238"/>
      <c r="E1238"/>
      <c r="F1238"/>
      <c r="G1238"/>
      <c r="H1238"/>
      <c r="I1238"/>
      <c r="J1238"/>
      <c r="K1238"/>
      <c r="L1238"/>
      <c r="M1238"/>
      <c r="N1238"/>
      <c r="O1238"/>
      <c r="P1238"/>
      <c r="Q1238"/>
      <c r="R1238"/>
      <c r="S1238"/>
    </row>
    <row r="1239" spans="1:19" x14ac:dyDescent="0.25">
      <c r="A1239"/>
      <c r="B1239"/>
      <c r="C1239"/>
      <c r="D1239"/>
      <c r="E1239"/>
      <c r="F1239"/>
      <c r="G1239"/>
      <c r="H1239"/>
      <c r="I1239"/>
      <c r="J1239"/>
      <c r="K1239"/>
      <c r="L1239"/>
      <c r="M1239"/>
      <c r="N1239"/>
      <c r="O1239"/>
      <c r="P1239"/>
      <c r="Q1239"/>
      <c r="R1239"/>
      <c r="S1239"/>
    </row>
    <row r="1240" spans="1:19" x14ac:dyDescent="0.25">
      <c r="A1240"/>
      <c r="B1240"/>
      <c r="C1240"/>
      <c r="D1240"/>
      <c r="E1240"/>
      <c r="F1240"/>
      <c r="G1240"/>
      <c r="H1240"/>
      <c r="I1240"/>
      <c r="J1240"/>
      <c r="K1240"/>
      <c r="L1240"/>
      <c r="M1240"/>
      <c r="N1240"/>
      <c r="O1240"/>
      <c r="P1240"/>
      <c r="Q1240"/>
      <c r="R1240"/>
      <c r="S1240"/>
    </row>
    <row r="1241" spans="1:19" x14ac:dyDescent="0.25">
      <c r="A1241"/>
      <c r="B1241"/>
      <c r="C1241"/>
      <c r="D1241"/>
      <c r="E1241"/>
      <c r="F1241"/>
      <c r="G1241"/>
      <c r="H1241"/>
      <c r="I1241"/>
      <c r="J1241"/>
      <c r="K1241"/>
      <c r="L1241"/>
      <c r="M1241"/>
      <c r="N1241"/>
      <c r="O1241"/>
      <c r="P1241"/>
      <c r="Q1241"/>
      <c r="R1241"/>
      <c r="S1241"/>
    </row>
    <row r="1242" spans="1:19" x14ac:dyDescent="0.25">
      <c r="A1242"/>
      <c r="B1242"/>
      <c r="C1242"/>
      <c r="D1242"/>
      <c r="E1242"/>
      <c r="F1242"/>
      <c r="G1242"/>
      <c r="H1242"/>
      <c r="I1242"/>
      <c r="J1242"/>
      <c r="K1242"/>
      <c r="L1242"/>
      <c r="M1242"/>
      <c r="N1242"/>
      <c r="O1242"/>
      <c r="P1242"/>
      <c r="Q1242"/>
      <c r="R1242"/>
      <c r="S1242"/>
    </row>
    <row r="1243" spans="1:19" x14ac:dyDescent="0.25">
      <c r="A1243"/>
      <c r="B1243"/>
      <c r="C1243"/>
      <c r="D1243"/>
      <c r="E1243"/>
      <c r="F1243"/>
      <c r="G1243"/>
      <c r="H1243"/>
      <c r="I1243"/>
      <c r="J1243"/>
      <c r="K1243"/>
      <c r="L1243"/>
      <c r="M1243"/>
      <c r="N1243"/>
      <c r="O1243"/>
      <c r="P1243"/>
      <c r="Q1243"/>
      <c r="R1243"/>
      <c r="S1243"/>
    </row>
    <row r="1244" spans="1:19" x14ac:dyDescent="0.25">
      <c r="A1244"/>
      <c r="B1244"/>
      <c r="C1244"/>
      <c r="D1244"/>
      <c r="E1244"/>
      <c r="F1244"/>
      <c r="G1244"/>
      <c r="H1244"/>
      <c r="I1244"/>
      <c r="J1244"/>
      <c r="K1244"/>
      <c r="L1244"/>
      <c r="M1244"/>
      <c r="N1244"/>
      <c r="O1244"/>
      <c r="P1244"/>
      <c r="Q1244"/>
      <c r="R1244"/>
      <c r="S1244"/>
    </row>
    <row r="1245" spans="1:19" x14ac:dyDescent="0.25">
      <c r="A1245"/>
      <c r="B1245"/>
      <c r="C1245"/>
      <c r="D1245"/>
      <c r="E1245"/>
      <c r="F1245"/>
      <c r="G1245"/>
      <c r="H1245"/>
      <c r="I1245"/>
      <c r="J1245"/>
      <c r="K1245"/>
      <c r="L1245"/>
      <c r="M1245"/>
      <c r="N1245"/>
      <c r="O1245"/>
      <c r="P1245"/>
      <c r="Q1245"/>
      <c r="R1245"/>
      <c r="S1245"/>
    </row>
    <row r="1246" spans="1:19" x14ac:dyDescent="0.25">
      <c r="A1246"/>
      <c r="B1246"/>
      <c r="C1246"/>
      <c r="D1246"/>
      <c r="E1246"/>
      <c r="F1246"/>
      <c r="G1246"/>
      <c r="H1246"/>
      <c r="I1246"/>
      <c r="J1246"/>
      <c r="K1246"/>
      <c r="L1246"/>
      <c r="M1246"/>
      <c r="N1246"/>
      <c r="O1246"/>
      <c r="P1246"/>
      <c r="Q1246"/>
      <c r="R1246"/>
      <c r="S1246"/>
    </row>
    <row r="1247" spans="1:19" x14ac:dyDescent="0.25">
      <c r="A1247"/>
      <c r="B1247"/>
      <c r="C1247"/>
      <c r="D1247"/>
      <c r="E1247"/>
      <c r="F1247"/>
      <c r="G1247"/>
      <c r="H1247"/>
      <c r="I1247"/>
      <c r="J1247"/>
      <c r="K1247"/>
      <c r="L1247"/>
      <c r="M1247"/>
      <c r="N1247"/>
      <c r="O1247"/>
      <c r="P1247"/>
      <c r="Q1247"/>
      <c r="R1247"/>
      <c r="S1247"/>
    </row>
    <row r="1248" spans="1:19" x14ac:dyDescent="0.25">
      <c r="A1248"/>
      <c r="B1248"/>
      <c r="C1248"/>
      <c r="D1248"/>
      <c r="E1248"/>
      <c r="F1248"/>
      <c r="G1248"/>
      <c r="H1248"/>
      <c r="I1248"/>
      <c r="J1248"/>
      <c r="K1248"/>
      <c r="L1248"/>
      <c r="M1248"/>
      <c r="N1248"/>
      <c r="O1248"/>
      <c r="P1248"/>
      <c r="Q1248"/>
      <c r="R1248"/>
      <c r="S1248"/>
    </row>
    <row r="1249" spans="1:19" x14ac:dyDescent="0.25">
      <c r="A1249"/>
      <c r="B1249"/>
      <c r="C1249"/>
      <c r="D1249"/>
      <c r="E1249"/>
      <c r="F1249"/>
      <c r="G1249"/>
      <c r="H1249"/>
      <c r="I1249"/>
      <c r="J1249"/>
      <c r="K1249"/>
      <c r="L1249"/>
      <c r="M1249"/>
      <c r="N1249"/>
      <c r="O1249"/>
      <c r="P1249"/>
      <c r="Q1249"/>
      <c r="R1249"/>
      <c r="S1249"/>
    </row>
    <row r="1250" spans="1:19" x14ac:dyDescent="0.25">
      <c r="A1250"/>
      <c r="B1250"/>
      <c r="C1250"/>
      <c r="D1250"/>
      <c r="E1250"/>
      <c r="F1250"/>
      <c r="G1250"/>
      <c r="H1250"/>
      <c r="I1250"/>
      <c r="J1250"/>
      <c r="K1250"/>
      <c r="L1250"/>
      <c r="M1250"/>
      <c r="N1250"/>
      <c r="O1250"/>
      <c r="P1250"/>
      <c r="Q1250"/>
      <c r="R1250"/>
      <c r="S1250"/>
    </row>
    <row r="1251" spans="1:19" x14ac:dyDescent="0.25">
      <c r="A1251"/>
      <c r="B1251"/>
      <c r="C1251"/>
      <c r="D1251"/>
      <c r="E1251"/>
      <c r="F1251"/>
      <c r="G1251"/>
      <c r="H1251"/>
      <c r="I1251"/>
      <c r="J1251"/>
      <c r="K1251"/>
      <c r="L1251"/>
      <c r="M1251"/>
      <c r="N1251"/>
      <c r="O1251"/>
      <c r="P1251"/>
      <c r="Q1251"/>
      <c r="R1251"/>
      <c r="S1251"/>
    </row>
    <row r="1252" spans="1:19" x14ac:dyDescent="0.25">
      <c r="A1252"/>
      <c r="B1252"/>
      <c r="C1252"/>
      <c r="D1252"/>
      <c r="E1252"/>
      <c r="F1252"/>
      <c r="G1252"/>
      <c r="H1252"/>
      <c r="I1252"/>
      <c r="J1252"/>
      <c r="K1252"/>
      <c r="L1252"/>
      <c r="M1252"/>
      <c r="N1252"/>
      <c r="O1252"/>
      <c r="P1252"/>
      <c r="Q1252"/>
      <c r="R1252"/>
      <c r="S1252"/>
    </row>
    <row r="1253" spans="1:19" x14ac:dyDescent="0.25">
      <c r="A1253"/>
      <c r="B1253"/>
      <c r="C1253"/>
      <c r="D1253"/>
      <c r="E1253"/>
      <c r="F1253"/>
      <c r="G1253"/>
      <c r="H1253"/>
      <c r="I1253"/>
      <c r="J1253"/>
      <c r="K1253"/>
      <c r="L1253"/>
      <c r="M1253"/>
      <c r="N1253"/>
      <c r="O1253"/>
      <c r="P1253"/>
      <c r="Q1253"/>
      <c r="R1253"/>
      <c r="S1253"/>
    </row>
    <row r="1254" spans="1:19" x14ac:dyDescent="0.25">
      <c r="A1254"/>
      <c r="B1254"/>
      <c r="C1254"/>
      <c r="D1254"/>
      <c r="E1254"/>
      <c r="F1254"/>
      <c r="G1254"/>
      <c r="H1254"/>
      <c r="I1254"/>
      <c r="J1254"/>
      <c r="K1254"/>
      <c r="L1254"/>
      <c r="M1254"/>
      <c r="N1254"/>
      <c r="O1254"/>
      <c r="P1254"/>
      <c r="Q1254"/>
      <c r="R1254"/>
      <c r="S1254"/>
    </row>
    <row r="1255" spans="1:19" x14ac:dyDescent="0.25">
      <c r="A1255"/>
      <c r="B1255"/>
      <c r="C1255"/>
      <c r="D1255"/>
      <c r="E1255"/>
      <c r="F1255"/>
      <c r="G1255"/>
      <c r="H1255"/>
      <c r="I1255"/>
      <c r="J1255"/>
      <c r="K1255"/>
      <c r="L1255"/>
      <c r="M1255"/>
      <c r="N1255"/>
      <c r="O1255"/>
      <c r="P1255"/>
      <c r="Q1255"/>
      <c r="R1255"/>
      <c r="S1255"/>
    </row>
    <row r="1256" spans="1:19" x14ac:dyDescent="0.25">
      <c r="A1256"/>
      <c r="B1256"/>
      <c r="C1256"/>
      <c r="D1256"/>
      <c r="E1256"/>
      <c r="F1256"/>
      <c r="G1256"/>
      <c r="H1256"/>
      <c r="I1256"/>
      <c r="J1256"/>
      <c r="K1256"/>
      <c r="L1256"/>
      <c r="M1256"/>
      <c r="N1256"/>
      <c r="O1256"/>
      <c r="P1256"/>
      <c r="Q1256"/>
      <c r="R1256"/>
      <c r="S1256"/>
    </row>
    <row r="1257" spans="1:19" x14ac:dyDescent="0.25">
      <c r="A1257"/>
      <c r="B1257"/>
      <c r="C1257"/>
      <c r="D1257"/>
      <c r="E1257"/>
      <c r="F1257"/>
      <c r="G1257"/>
      <c r="H1257"/>
      <c r="I1257"/>
      <c r="J1257"/>
      <c r="K1257"/>
      <c r="L1257"/>
      <c r="M1257"/>
      <c r="N1257"/>
      <c r="O1257"/>
      <c r="P1257"/>
      <c r="Q1257"/>
      <c r="R1257"/>
      <c r="S1257"/>
    </row>
    <row r="1258" spans="1:19" x14ac:dyDescent="0.25">
      <c r="A1258"/>
      <c r="B1258"/>
      <c r="C1258"/>
      <c r="D1258"/>
      <c r="E1258"/>
      <c r="F1258"/>
      <c r="G1258"/>
      <c r="H1258"/>
      <c r="I1258"/>
      <c r="J1258"/>
      <c r="K1258"/>
      <c r="L1258"/>
      <c r="M1258"/>
      <c r="N1258"/>
      <c r="O1258"/>
      <c r="P1258"/>
      <c r="Q1258"/>
      <c r="R1258"/>
      <c r="S1258"/>
    </row>
    <row r="1259" spans="1:19" x14ac:dyDescent="0.25">
      <c r="A1259"/>
      <c r="B1259"/>
      <c r="C1259"/>
      <c r="D1259"/>
      <c r="E1259"/>
      <c r="F1259"/>
      <c r="G1259"/>
      <c r="H1259"/>
      <c r="I1259"/>
      <c r="J1259"/>
      <c r="K1259"/>
      <c r="L1259"/>
      <c r="M1259"/>
      <c r="N1259"/>
      <c r="O1259"/>
      <c r="P1259"/>
      <c r="Q1259"/>
      <c r="R1259"/>
      <c r="S1259"/>
    </row>
    <row r="1260" spans="1:19" x14ac:dyDescent="0.25">
      <c r="A1260"/>
      <c r="B1260"/>
      <c r="C1260"/>
      <c r="D1260"/>
      <c r="E1260"/>
      <c r="F1260"/>
      <c r="G1260"/>
      <c r="H1260"/>
      <c r="I1260"/>
      <c r="J1260"/>
      <c r="K1260"/>
      <c r="L1260"/>
      <c r="M1260"/>
      <c r="N1260"/>
      <c r="O1260"/>
      <c r="P1260"/>
      <c r="Q1260"/>
      <c r="R1260"/>
      <c r="S1260"/>
    </row>
    <row r="1261" spans="1:19" x14ac:dyDescent="0.25">
      <c r="A1261"/>
      <c r="B1261"/>
      <c r="C1261"/>
      <c r="D1261"/>
      <c r="E1261"/>
      <c r="F1261"/>
      <c r="G1261"/>
      <c r="H1261"/>
      <c r="I1261"/>
      <c r="J1261"/>
      <c r="K1261"/>
      <c r="L1261"/>
      <c r="M1261"/>
      <c r="N1261"/>
      <c r="O1261"/>
      <c r="P1261"/>
      <c r="Q1261"/>
      <c r="R1261"/>
      <c r="S1261"/>
    </row>
    <row r="1262" spans="1:19" x14ac:dyDescent="0.25">
      <c r="A1262"/>
      <c r="B1262"/>
      <c r="C1262"/>
      <c r="D1262"/>
      <c r="E1262"/>
      <c r="F1262"/>
      <c r="G1262"/>
      <c r="H1262"/>
      <c r="I1262"/>
      <c r="J1262"/>
      <c r="K1262"/>
      <c r="L1262"/>
      <c r="M1262"/>
      <c r="N1262"/>
      <c r="O1262"/>
      <c r="P1262"/>
      <c r="Q1262"/>
      <c r="R1262"/>
      <c r="S1262"/>
    </row>
    <row r="1263" spans="1:19" x14ac:dyDescent="0.25">
      <c r="A1263"/>
      <c r="B1263"/>
      <c r="C1263"/>
      <c r="D1263"/>
      <c r="E1263"/>
      <c r="F1263"/>
      <c r="G1263"/>
      <c r="H1263"/>
      <c r="I1263"/>
      <c r="J1263"/>
      <c r="K1263"/>
      <c r="L1263"/>
      <c r="M1263"/>
      <c r="N1263"/>
      <c r="O1263"/>
      <c r="P1263"/>
      <c r="Q1263"/>
      <c r="R1263"/>
      <c r="S1263"/>
    </row>
    <row r="1264" spans="1:19" x14ac:dyDescent="0.25">
      <c r="A1264"/>
      <c r="B1264"/>
      <c r="C1264"/>
      <c r="D1264"/>
      <c r="E1264"/>
      <c r="F1264"/>
      <c r="G1264"/>
      <c r="H1264"/>
      <c r="I1264"/>
      <c r="J1264"/>
      <c r="K1264"/>
      <c r="L1264"/>
      <c r="M1264"/>
      <c r="N1264"/>
      <c r="O1264"/>
      <c r="P1264"/>
      <c r="Q1264"/>
      <c r="R1264"/>
      <c r="S1264"/>
    </row>
    <row r="1265" spans="1:19" x14ac:dyDescent="0.25">
      <c r="A1265"/>
      <c r="B1265"/>
      <c r="C1265"/>
      <c r="D1265"/>
      <c r="E1265"/>
      <c r="F1265"/>
      <c r="G1265"/>
      <c r="H1265"/>
      <c r="I1265"/>
      <c r="J1265"/>
      <c r="K1265"/>
      <c r="L1265"/>
      <c r="M1265"/>
      <c r="N1265"/>
      <c r="O1265"/>
      <c r="P1265"/>
      <c r="Q1265"/>
      <c r="R1265"/>
      <c r="S1265"/>
    </row>
    <row r="1266" spans="1:19" x14ac:dyDescent="0.25">
      <c r="A1266"/>
      <c r="B1266"/>
      <c r="C1266"/>
      <c r="D1266"/>
      <c r="E1266"/>
      <c r="F1266"/>
      <c r="G1266"/>
      <c r="H1266"/>
      <c r="I1266"/>
      <c r="J1266"/>
      <c r="K1266"/>
      <c r="L1266"/>
      <c r="M1266"/>
      <c r="N1266"/>
      <c r="O1266"/>
      <c r="P1266"/>
      <c r="Q1266"/>
      <c r="R1266"/>
      <c r="S1266"/>
    </row>
    <row r="1267" spans="1:19" x14ac:dyDescent="0.25">
      <c r="A1267"/>
      <c r="B1267"/>
      <c r="C1267"/>
      <c r="D1267"/>
      <c r="E1267"/>
      <c r="F1267"/>
      <c r="G1267"/>
      <c r="H1267"/>
      <c r="I1267"/>
      <c r="J1267"/>
      <c r="K1267"/>
      <c r="L1267"/>
      <c r="M1267"/>
      <c r="N1267"/>
      <c r="O1267"/>
      <c r="P1267"/>
      <c r="Q1267"/>
      <c r="R1267"/>
      <c r="S1267"/>
    </row>
    <row r="1268" spans="1:19" x14ac:dyDescent="0.25">
      <c r="A1268"/>
      <c r="B1268"/>
      <c r="C1268"/>
      <c r="D1268"/>
      <c r="E1268"/>
      <c r="F1268"/>
      <c r="G1268"/>
      <c r="H1268"/>
      <c r="I1268"/>
      <c r="J1268"/>
      <c r="K1268"/>
      <c r="L1268"/>
      <c r="M1268"/>
      <c r="N1268"/>
      <c r="O1268"/>
      <c r="P1268"/>
      <c r="Q1268"/>
      <c r="R1268"/>
      <c r="S1268"/>
    </row>
    <row r="1269" spans="1:19" x14ac:dyDescent="0.25">
      <c r="A1269"/>
      <c r="B1269"/>
      <c r="C1269"/>
      <c r="D1269"/>
      <c r="E1269"/>
      <c r="F1269"/>
      <c r="G1269"/>
      <c r="H1269"/>
      <c r="I1269"/>
      <c r="J1269"/>
      <c r="K1269"/>
      <c r="L1269"/>
      <c r="M1269"/>
      <c r="N1269"/>
      <c r="O1269"/>
      <c r="P1269"/>
      <c r="Q1269"/>
      <c r="R1269"/>
      <c r="S1269"/>
    </row>
    <row r="1270" spans="1:19" x14ac:dyDescent="0.25">
      <c r="A1270"/>
      <c r="B1270"/>
      <c r="C1270"/>
      <c r="D1270"/>
      <c r="E1270"/>
      <c r="F1270"/>
      <c r="G1270"/>
      <c r="H1270"/>
      <c r="I1270"/>
      <c r="J1270"/>
      <c r="K1270"/>
      <c r="L1270"/>
      <c r="M1270"/>
      <c r="N1270"/>
      <c r="O1270"/>
      <c r="P1270"/>
      <c r="Q1270"/>
      <c r="R1270"/>
      <c r="S1270"/>
    </row>
    <row r="1271" spans="1:19" x14ac:dyDescent="0.25">
      <c r="A1271"/>
      <c r="B1271"/>
      <c r="C1271"/>
      <c r="D1271"/>
      <c r="E1271"/>
      <c r="F1271"/>
      <c r="G1271"/>
      <c r="H1271"/>
      <c r="I1271"/>
      <c r="J1271"/>
      <c r="K1271"/>
      <c r="L1271"/>
      <c r="M1271"/>
      <c r="N1271"/>
      <c r="O1271"/>
      <c r="P1271"/>
      <c r="Q1271"/>
      <c r="R1271"/>
      <c r="S1271"/>
    </row>
    <row r="1272" spans="1:19" x14ac:dyDescent="0.25">
      <c r="A1272"/>
      <c r="B1272"/>
      <c r="C1272"/>
      <c r="D1272"/>
      <c r="E1272"/>
      <c r="F1272"/>
      <c r="G1272"/>
      <c r="H1272"/>
      <c r="I1272"/>
      <c r="J1272"/>
      <c r="K1272"/>
      <c r="L1272"/>
      <c r="M1272"/>
      <c r="N1272"/>
      <c r="O1272"/>
      <c r="P1272"/>
      <c r="Q1272"/>
      <c r="R1272"/>
      <c r="S1272"/>
    </row>
    <row r="1273" spans="1:19" x14ac:dyDescent="0.25">
      <c r="A1273"/>
      <c r="B1273"/>
      <c r="C1273"/>
      <c r="D1273"/>
      <c r="E1273"/>
      <c r="F1273"/>
      <c r="G1273"/>
      <c r="H1273"/>
      <c r="I1273"/>
      <c r="J1273"/>
      <c r="K1273"/>
      <c r="L1273"/>
      <c r="M1273"/>
      <c r="N1273"/>
      <c r="O1273"/>
      <c r="P1273"/>
      <c r="Q1273"/>
      <c r="R1273"/>
      <c r="S1273"/>
    </row>
    <row r="1274" spans="1:19" x14ac:dyDescent="0.25">
      <c r="A1274"/>
      <c r="B1274"/>
      <c r="C1274"/>
      <c r="D1274"/>
      <c r="E1274"/>
      <c r="F1274"/>
      <c r="G1274"/>
      <c r="H1274"/>
      <c r="I1274"/>
      <c r="J1274"/>
      <c r="K1274"/>
      <c r="L1274"/>
      <c r="M1274"/>
      <c r="N1274"/>
      <c r="O1274"/>
      <c r="P1274"/>
      <c r="Q1274"/>
      <c r="R1274"/>
      <c r="S1274"/>
    </row>
    <row r="1275" spans="1:19" x14ac:dyDescent="0.25">
      <c r="A1275"/>
      <c r="B1275"/>
      <c r="C1275"/>
      <c r="D1275"/>
      <c r="E1275"/>
      <c r="F1275"/>
      <c r="G1275"/>
      <c r="H1275"/>
      <c r="I1275"/>
      <c r="J1275"/>
      <c r="K1275"/>
      <c r="L1275"/>
      <c r="M1275"/>
      <c r="N1275"/>
      <c r="O1275"/>
      <c r="P1275"/>
      <c r="Q1275"/>
      <c r="R1275"/>
      <c r="S1275"/>
    </row>
    <row r="1276" spans="1:19" x14ac:dyDescent="0.25">
      <c r="A1276"/>
      <c r="B1276"/>
      <c r="C1276"/>
      <c r="D1276"/>
      <c r="E1276"/>
      <c r="F1276"/>
      <c r="G1276"/>
      <c r="H1276"/>
      <c r="I1276"/>
      <c r="J1276"/>
      <c r="K1276"/>
      <c r="L1276"/>
      <c r="M1276"/>
      <c r="N1276"/>
      <c r="O1276"/>
      <c r="P1276"/>
      <c r="Q1276"/>
      <c r="R1276"/>
      <c r="S1276"/>
    </row>
    <row r="1277" spans="1:19" x14ac:dyDescent="0.25">
      <c r="A1277"/>
      <c r="B1277"/>
      <c r="C1277"/>
      <c r="D1277"/>
      <c r="E1277"/>
      <c r="F1277"/>
      <c r="G1277"/>
      <c r="H1277"/>
      <c r="I1277"/>
      <c r="J1277"/>
      <c r="K1277"/>
      <c r="L1277"/>
      <c r="M1277"/>
      <c r="N1277"/>
      <c r="O1277"/>
      <c r="P1277"/>
      <c r="Q1277"/>
      <c r="R1277"/>
      <c r="S1277"/>
    </row>
    <row r="1278" spans="1:19" x14ac:dyDescent="0.25">
      <c r="A1278"/>
      <c r="B1278"/>
      <c r="C1278"/>
      <c r="D1278"/>
      <c r="E1278"/>
      <c r="F1278"/>
      <c r="G1278"/>
      <c r="H1278"/>
      <c r="I1278"/>
      <c r="J1278"/>
      <c r="K1278"/>
      <c r="L1278"/>
      <c r="M1278"/>
      <c r="N1278"/>
      <c r="O1278"/>
      <c r="P1278"/>
      <c r="Q1278"/>
      <c r="R1278"/>
      <c r="S1278"/>
    </row>
    <row r="1279" spans="1:19" x14ac:dyDescent="0.25">
      <c r="A1279"/>
      <c r="B1279"/>
      <c r="C1279"/>
      <c r="D1279"/>
      <c r="E1279"/>
      <c r="F1279"/>
      <c r="G1279"/>
      <c r="H1279"/>
      <c r="I1279"/>
      <c r="J1279"/>
      <c r="K1279"/>
      <c r="L1279"/>
      <c r="M1279"/>
      <c r="N1279"/>
      <c r="O1279"/>
      <c r="P1279"/>
      <c r="Q1279"/>
      <c r="R1279"/>
      <c r="S1279"/>
    </row>
    <row r="1280" spans="1:19" x14ac:dyDescent="0.25">
      <c r="A1280"/>
      <c r="B1280"/>
      <c r="C1280"/>
      <c r="D1280"/>
      <c r="E1280"/>
      <c r="F1280"/>
      <c r="G1280"/>
      <c r="H1280"/>
      <c r="I1280"/>
      <c r="J1280"/>
      <c r="K1280"/>
      <c r="L1280"/>
      <c r="M1280"/>
      <c r="N1280"/>
      <c r="O1280"/>
      <c r="P1280"/>
      <c r="Q1280"/>
      <c r="R1280"/>
      <c r="S1280"/>
    </row>
    <row r="1281" spans="1:19" x14ac:dyDescent="0.25">
      <c r="A1281"/>
      <c r="B1281"/>
      <c r="C1281"/>
      <c r="D1281"/>
      <c r="E1281"/>
      <c r="F1281"/>
      <c r="G1281"/>
      <c r="H1281"/>
      <c r="I1281"/>
      <c r="J1281"/>
      <c r="K1281"/>
      <c r="L1281"/>
      <c r="M1281"/>
      <c r="N1281"/>
      <c r="O1281"/>
      <c r="P1281"/>
      <c r="Q1281"/>
      <c r="R1281"/>
      <c r="S1281"/>
    </row>
    <row r="1282" spans="1:19" x14ac:dyDescent="0.25">
      <c r="A1282"/>
      <c r="B1282"/>
      <c r="C1282"/>
      <c r="D1282"/>
      <c r="E1282"/>
      <c r="F1282"/>
      <c r="G1282"/>
      <c r="H1282"/>
      <c r="I1282"/>
      <c r="J1282"/>
      <c r="K1282"/>
      <c r="L1282"/>
      <c r="M1282"/>
      <c r="N1282"/>
      <c r="O1282"/>
      <c r="P1282"/>
      <c r="Q1282"/>
      <c r="R1282"/>
      <c r="S1282"/>
    </row>
    <row r="1283" spans="1:19" x14ac:dyDescent="0.25">
      <c r="A1283"/>
      <c r="B1283"/>
      <c r="C1283"/>
      <c r="D1283"/>
      <c r="E1283"/>
      <c r="F1283"/>
      <c r="G1283"/>
      <c r="H1283"/>
      <c r="I1283"/>
      <c r="J1283"/>
      <c r="K1283"/>
      <c r="L1283"/>
      <c r="M1283"/>
      <c r="N1283"/>
      <c r="O1283"/>
      <c r="P1283"/>
      <c r="Q1283"/>
      <c r="R1283"/>
      <c r="S1283"/>
    </row>
    <row r="1284" spans="1:19" x14ac:dyDescent="0.25">
      <c r="A1284"/>
      <c r="B1284"/>
      <c r="C1284"/>
      <c r="D1284"/>
      <c r="E1284"/>
      <c r="F1284"/>
      <c r="G1284"/>
      <c r="H1284"/>
      <c r="I1284"/>
      <c r="J1284"/>
      <c r="K1284"/>
      <c r="L1284"/>
      <c r="M1284"/>
      <c r="N1284"/>
      <c r="O1284"/>
      <c r="P1284"/>
      <c r="Q1284"/>
      <c r="R1284"/>
      <c r="S1284"/>
    </row>
    <row r="1285" spans="1:19" x14ac:dyDescent="0.25">
      <c r="A1285"/>
      <c r="B1285"/>
      <c r="C1285"/>
      <c r="D1285"/>
      <c r="E1285"/>
      <c r="F1285"/>
      <c r="G1285"/>
      <c r="H1285"/>
      <c r="I1285"/>
      <c r="J1285"/>
      <c r="K1285"/>
      <c r="L1285"/>
      <c r="M1285"/>
      <c r="N1285"/>
      <c r="O1285"/>
      <c r="P1285"/>
      <c r="Q1285"/>
      <c r="R1285"/>
      <c r="S1285"/>
    </row>
    <row r="1286" spans="1:19" x14ac:dyDescent="0.25">
      <c r="A1286"/>
      <c r="B1286"/>
      <c r="C1286"/>
      <c r="D1286"/>
      <c r="E1286"/>
      <c r="F1286"/>
      <c r="G1286"/>
      <c r="H1286"/>
      <c r="I1286"/>
      <c r="J1286"/>
      <c r="K1286"/>
      <c r="L1286"/>
      <c r="M1286"/>
      <c r="N1286"/>
      <c r="O1286"/>
      <c r="P1286"/>
      <c r="Q1286"/>
      <c r="R1286"/>
      <c r="S1286"/>
    </row>
    <row r="1287" spans="1:19" x14ac:dyDescent="0.25">
      <c r="A1287"/>
      <c r="B1287"/>
      <c r="C1287"/>
      <c r="D1287"/>
      <c r="E1287"/>
      <c r="F1287"/>
      <c r="G1287"/>
      <c r="H1287"/>
      <c r="I1287"/>
      <c r="J1287"/>
      <c r="K1287"/>
      <c r="L1287"/>
      <c r="M1287"/>
      <c r="N1287"/>
      <c r="O1287"/>
      <c r="P1287"/>
      <c r="Q1287"/>
      <c r="R1287"/>
      <c r="S1287"/>
    </row>
    <row r="1288" spans="1:19" x14ac:dyDescent="0.25">
      <c r="A1288"/>
      <c r="B1288"/>
      <c r="C1288"/>
      <c r="D1288"/>
      <c r="E1288"/>
      <c r="F1288"/>
      <c r="G1288"/>
      <c r="H1288"/>
      <c r="I1288"/>
      <c r="J1288"/>
      <c r="K1288"/>
      <c r="L1288"/>
      <c r="M1288"/>
      <c r="N1288"/>
      <c r="O1288"/>
      <c r="P1288"/>
      <c r="Q1288"/>
      <c r="R1288"/>
      <c r="S1288"/>
    </row>
    <row r="1289" spans="1:19" x14ac:dyDescent="0.25">
      <c r="A1289"/>
      <c r="B1289"/>
      <c r="C1289"/>
      <c r="D1289"/>
      <c r="E1289"/>
      <c r="F1289"/>
      <c r="G1289"/>
      <c r="H1289"/>
      <c r="I1289"/>
      <c r="J1289"/>
      <c r="K1289"/>
      <c r="L1289"/>
      <c r="M1289"/>
      <c r="N1289"/>
      <c r="O1289"/>
      <c r="P1289"/>
      <c r="Q1289"/>
      <c r="R1289"/>
      <c r="S1289"/>
    </row>
    <row r="1290" spans="1:19" x14ac:dyDescent="0.25">
      <c r="A1290"/>
      <c r="B1290"/>
      <c r="C1290"/>
      <c r="D1290"/>
      <c r="E1290"/>
      <c r="F1290"/>
      <c r="G1290"/>
      <c r="H1290"/>
      <c r="I1290"/>
      <c r="J1290"/>
      <c r="K1290"/>
      <c r="L1290"/>
      <c r="M1290"/>
      <c r="N1290"/>
      <c r="O1290"/>
      <c r="P1290"/>
      <c r="Q1290"/>
      <c r="R1290"/>
      <c r="S1290"/>
    </row>
    <row r="1291" spans="1:19" x14ac:dyDescent="0.25">
      <c r="A1291"/>
      <c r="B1291"/>
      <c r="C1291"/>
      <c r="D1291"/>
      <c r="E1291"/>
      <c r="F1291"/>
      <c r="G1291"/>
      <c r="H1291"/>
      <c r="I1291"/>
      <c r="J1291"/>
      <c r="K1291"/>
      <c r="L1291"/>
      <c r="M1291"/>
      <c r="N1291"/>
      <c r="O1291"/>
      <c r="P1291"/>
      <c r="Q1291"/>
      <c r="R1291"/>
      <c r="S1291"/>
    </row>
    <row r="1292" spans="1:19" x14ac:dyDescent="0.25">
      <c r="A1292"/>
      <c r="B1292"/>
      <c r="C1292"/>
      <c r="D1292"/>
      <c r="E1292"/>
      <c r="F1292"/>
      <c r="G1292"/>
      <c r="H1292"/>
      <c r="I1292"/>
      <c r="J1292"/>
      <c r="K1292"/>
      <c r="L1292"/>
      <c r="M1292"/>
      <c r="N1292"/>
      <c r="O1292"/>
      <c r="P1292"/>
      <c r="Q1292"/>
      <c r="R1292"/>
      <c r="S1292"/>
    </row>
    <row r="1293" spans="1:19" x14ac:dyDescent="0.25">
      <c r="A1293"/>
      <c r="B1293"/>
      <c r="C1293"/>
      <c r="D1293"/>
      <c r="E1293"/>
      <c r="F1293"/>
      <c r="G1293"/>
      <c r="H1293"/>
      <c r="I1293"/>
      <c r="J1293"/>
      <c r="K1293"/>
      <c r="L1293"/>
      <c r="M1293"/>
      <c r="N1293"/>
      <c r="O1293"/>
      <c r="P1293"/>
      <c r="Q1293"/>
      <c r="R1293"/>
      <c r="S1293"/>
    </row>
    <row r="1294" spans="1:19" x14ac:dyDescent="0.25">
      <c r="A1294"/>
      <c r="B1294"/>
      <c r="C1294"/>
      <c r="D1294"/>
      <c r="E1294"/>
      <c r="F1294"/>
      <c r="G1294"/>
      <c r="H1294"/>
      <c r="I1294"/>
      <c r="J1294"/>
      <c r="K1294"/>
      <c r="L1294"/>
      <c r="M1294"/>
      <c r="N1294"/>
      <c r="O1294"/>
      <c r="P1294"/>
      <c r="Q1294"/>
      <c r="R1294"/>
      <c r="S1294"/>
    </row>
    <row r="1295" spans="1:19" x14ac:dyDescent="0.25">
      <c r="A1295"/>
      <c r="B1295"/>
      <c r="C1295"/>
      <c r="D1295"/>
      <c r="E1295"/>
      <c r="F1295"/>
      <c r="G1295"/>
      <c r="H1295"/>
      <c r="I1295"/>
      <c r="J1295"/>
      <c r="K1295"/>
      <c r="L1295"/>
      <c r="M1295"/>
      <c r="N1295"/>
      <c r="O1295"/>
      <c r="P1295"/>
      <c r="Q1295"/>
      <c r="R1295"/>
      <c r="S1295"/>
    </row>
    <row r="1296" spans="1:19" x14ac:dyDescent="0.25">
      <c r="A1296"/>
      <c r="B1296"/>
      <c r="C1296"/>
      <c r="D1296"/>
      <c r="E1296"/>
      <c r="F1296"/>
      <c r="G1296"/>
      <c r="H1296"/>
      <c r="I1296"/>
      <c r="J1296"/>
      <c r="K1296"/>
      <c r="L1296"/>
      <c r="M1296"/>
      <c r="N1296"/>
      <c r="O1296"/>
      <c r="P1296"/>
      <c r="Q1296"/>
      <c r="R1296"/>
      <c r="S1296"/>
    </row>
    <row r="1297" spans="1:19" x14ac:dyDescent="0.25">
      <c r="A1297"/>
      <c r="B1297"/>
      <c r="C1297"/>
      <c r="D1297"/>
      <c r="E1297"/>
      <c r="F1297"/>
      <c r="G1297"/>
      <c r="H1297"/>
      <c r="I1297"/>
      <c r="J1297"/>
      <c r="K1297"/>
      <c r="L1297"/>
      <c r="M1297"/>
      <c r="N1297"/>
      <c r="O1297"/>
      <c r="P1297"/>
      <c r="Q1297"/>
      <c r="R1297"/>
      <c r="S1297"/>
    </row>
    <row r="1298" spans="1:19" x14ac:dyDescent="0.25">
      <c r="A1298"/>
      <c r="B1298"/>
      <c r="C1298"/>
      <c r="D1298"/>
      <c r="E1298"/>
      <c r="F1298"/>
      <c r="G1298"/>
      <c r="H1298"/>
      <c r="I1298"/>
      <c r="J1298"/>
      <c r="K1298"/>
      <c r="L1298"/>
      <c r="M1298"/>
      <c r="N1298"/>
      <c r="O1298"/>
      <c r="P1298"/>
      <c r="Q1298"/>
      <c r="R1298"/>
      <c r="S1298"/>
    </row>
    <row r="1299" spans="1:19" x14ac:dyDescent="0.25">
      <c r="A1299"/>
      <c r="B1299"/>
      <c r="C1299"/>
      <c r="D1299"/>
      <c r="E1299"/>
      <c r="F1299"/>
      <c r="G1299"/>
      <c r="H1299"/>
      <c r="I1299"/>
      <c r="J1299"/>
      <c r="K1299"/>
      <c r="L1299"/>
      <c r="M1299"/>
      <c r="N1299"/>
      <c r="O1299"/>
      <c r="P1299"/>
      <c r="Q1299"/>
      <c r="R1299"/>
      <c r="S1299"/>
    </row>
    <row r="1300" spans="1:19" x14ac:dyDescent="0.25">
      <c r="A1300"/>
      <c r="B1300"/>
      <c r="C1300"/>
      <c r="D1300"/>
      <c r="E1300"/>
      <c r="F1300"/>
      <c r="G1300"/>
      <c r="H1300"/>
      <c r="I1300"/>
      <c r="J1300"/>
      <c r="K1300"/>
      <c r="L1300"/>
      <c r="M1300"/>
      <c r="N1300"/>
      <c r="O1300"/>
      <c r="P1300"/>
      <c r="Q1300"/>
      <c r="R1300"/>
      <c r="S1300"/>
    </row>
    <row r="1301" spans="1:19" x14ac:dyDescent="0.25">
      <c r="A1301"/>
      <c r="B1301"/>
      <c r="C1301"/>
      <c r="D1301"/>
      <c r="E1301"/>
      <c r="F1301"/>
      <c r="G1301"/>
      <c r="H1301"/>
      <c r="I1301"/>
      <c r="J1301"/>
      <c r="K1301"/>
      <c r="L1301"/>
      <c r="M1301"/>
      <c r="N1301"/>
      <c r="O1301"/>
      <c r="P1301"/>
      <c r="Q1301"/>
      <c r="R1301"/>
      <c r="S1301"/>
    </row>
    <row r="1302" spans="1:19" x14ac:dyDescent="0.25">
      <c r="A1302"/>
      <c r="B1302"/>
      <c r="C1302"/>
      <c r="D1302"/>
      <c r="E1302"/>
      <c r="F1302"/>
      <c r="G1302"/>
      <c r="H1302"/>
      <c r="I1302"/>
      <c r="J1302"/>
      <c r="K1302"/>
      <c r="L1302"/>
      <c r="M1302"/>
      <c r="N1302"/>
      <c r="O1302"/>
      <c r="P1302"/>
      <c r="Q1302"/>
      <c r="R1302"/>
      <c r="S1302"/>
    </row>
    <row r="1303" spans="1:19" x14ac:dyDescent="0.25">
      <c r="A1303"/>
      <c r="B1303"/>
      <c r="C1303"/>
      <c r="D1303"/>
      <c r="E1303"/>
      <c r="F1303"/>
      <c r="G1303"/>
      <c r="H1303"/>
      <c r="I1303"/>
      <c r="J1303"/>
      <c r="K1303"/>
      <c r="L1303"/>
      <c r="M1303"/>
      <c r="N1303"/>
      <c r="O1303"/>
      <c r="P1303"/>
      <c r="Q1303"/>
      <c r="R1303"/>
      <c r="S1303"/>
    </row>
    <row r="1304" spans="1:19" x14ac:dyDescent="0.25">
      <c r="A1304"/>
      <c r="B1304"/>
      <c r="C1304"/>
      <c r="D1304"/>
      <c r="E1304"/>
      <c r="F1304"/>
      <c r="G1304"/>
      <c r="H1304"/>
      <c r="I1304"/>
      <c r="J1304"/>
      <c r="K1304"/>
      <c r="L1304"/>
      <c r="M1304"/>
      <c r="N1304"/>
      <c r="O1304"/>
      <c r="P1304"/>
      <c r="Q1304"/>
      <c r="R1304"/>
      <c r="S1304"/>
    </row>
    <row r="1305" spans="1:19" x14ac:dyDescent="0.25">
      <c r="A1305"/>
      <c r="B1305"/>
      <c r="C1305"/>
      <c r="D1305"/>
      <c r="E1305"/>
      <c r="F1305"/>
      <c r="G1305"/>
      <c r="H1305"/>
      <c r="I1305"/>
      <c r="J1305"/>
      <c r="K1305"/>
      <c r="L1305"/>
      <c r="M1305"/>
      <c r="N1305"/>
      <c r="O1305"/>
      <c r="P1305"/>
      <c r="Q1305"/>
      <c r="R1305"/>
      <c r="S1305"/>
    </row>
    <row r="1306" spans="1:19" x14ac:dyDescent="0.25">
      <c r="A1306"/>
      <c r="B1306"/>
      <c r="C1306"/>
      <c r="D1306"/>
      <c r="E1306"/>
      <c r="F1306"/>
      <c r="G1306"/>
      <c r="H1306"/>
      <c r="I1306"/>
      <c r="J1306"/>
      <c r="K1306"/>
      <c r="L1306"/>
      <c r="M1306"/>
      <c r="N1306"/>
      <c r="O1306"/>
      <c r="P1306"/>
      <c r="Q1306"/>
      <c r="R1306"/>
      <c r="S1306"/>
    </row>
    <row r="1307" spans="1:19" x14ac:dyDescent="0.25">
      <c r="A1307"/>
      <c r="B1307"/>
      <c r="C1307"/>
      <c r="D1307"/>
      <c r="E1307"/>
      <c r="F1307"/>
      <c r="G1307"/>
      <c r="H1307"/>
      <c r="I1307"/>
      <c r="J1307"/>
      <c r="K1307"/>
      <c r="L1307"/>
      <c r="M1307"/>
      <c r="N1307"/>
      <c r="O1307"/>
      <c r="P1307"/>
      <c r="Q1307"/>
      <c r="R1307"/>
      <c r="S1307"/>
    </row>
    <row r="1308" spans="1:19" x14ac:dyDescent="0.25">
      <c r="A1308"/>
      <c r="B1308"/>
      <c r="C1308"/>
      <c r="D1308"/>
      <c r="E1308"/>
      <c r="F1308"/>
      <c r="G1308"/>
      <c r="H1308"/>
      <c r="I1308"/>
      <c r="J1308"/>
      <c r="K1308"/>
      <c r="L1308"/>
      <c r="M1308"/>
      <c r="N1308"/>
      <c r="O1308"/>
      <c r="P1308"/>
      <c r="Q1308"/>
      <c r="R1308"/>
      <c r="S1308"/>
    </row>
    <row r="1309" spans="1:19" x14ac:dyDescent="0.25">
      <c r="A1309"/>
      <c r="B1309"/>
      <c r="C1309"/>
      <c r="D1309"/>
      <c r="E1309"/>
      <c r="F1309"/>
      <c r="G1309"/>
      <c r="H1309"/>
      <c r="I1309"/>
      <c r="J1309"/>
      <c r="K1309"/>
      <c r="L1309"/>
      <c r="M1309"/>
      <c r="N1309"/>
      <c r="O1309"/>
      <c r="P1309"/>
      <c r="Q1309"/>
      <c r="R1309"/>
      <c r="S1309"/>
    </row>
    <row r="1310" spans="1:19" x14ac:dyDescent="0.25">
      <c r="A1310"/>
      <c r="B1310"/>
      <c r="C1310"/>
      <c r="D1310"/>
      <c r="E1310"/>
      <c r="F1310"/>
      <c r="G1310"/>
      <c r="H1310"/>
      <c r="I1310"/>
      <c r="J1310"/>
      <c r="K1310"/>
      <c r="L1310"/>
      <c r="M1310"/>
      <c r="N1310"/>
      <c r="O1310"/>
      <c r="P1310"/>
      <c r="Q1310"/>
      <c r="R1310"/>
      <c r="S1310"/>
    </row>
    <row r="1311" spans="1:19" x14ac:dyDescent="0.25">
      <c r="A1311"/>
      <c r="B1311"/>
      <c r="C1311"/>
      <c r="D1311"/>
      <c r="E1311"/>
      <c r="F1311"/>
      <c r="G1311"/>
      <c r="H1311"/>
      <c r="I1311"/>
      <c r="J1311"/>
      <c r="K1311"/>
      <c r="L1311"/>
      <c r="M1311"/>
      <c r="N1311"/>
      <c r="O1311"/>
      <c r="P1311"/>
      <c r="Q1311"/>
      <c r="R1311"/>
      <c r="S1311"/>
    </row>
    <row r="1312" spans="1:19" x14ac:dyDescent="0.25">
      <c r="A1312"/>
      <c r="B1312"/>
      <c r="C1312"/>
      <c r="D1312"/>
      <c r="E1312"/>
      <c r="F1312"/>
      <c r="G1312"/>
      <c r="H1312"/>
      <c r="I1312"/>
      <c r="J1312"/>
      <c r="K1312"/>
      <c r="L1312"/>
      <c r="M1312"/>
      <c r="N1312"/>
      <c r="O1312"/>
      <c r="P1312"/>
      <c r="Q1312"/>
      <c r="R1312"/>
      <c r="S1312"/>
    </row>
    <row r="1313" spans="1:19" x14ac:dyDescent="0.25">
      <c r="A1313"/>
      <c r="B1313"/>
      <c r="C1313"/>
      <c r="D1313"/>
      <c r="E1313"/>
      <c r="F1313"/>
      <c r="G1313"/>
      <c r="H1313"/>
      <c r="I1313"/>
      <c r="J1313"/>
      <c r="K1313"/>
      <c r="L1313"/>
      <c r="M1313"/>
      <c r="N1313"/>
      <c r="O1313"/>
      <c r="P1313"/>
      <c r="Q1313"/>
      <c r="R1313"/>
      <c r="S1313"/>
    </row>
    <row r="1314" spans="1:19" x14ac:dyDescent="0.25">
      <c r="A1314"/>
      <c r="B1314"/>
      <c r="C1314"/>
      <c r="D1314"/>
      <c r="E1314"/>
      <c r="F1314"/>
      <c r="G1314"/>
      <c r="H1314"/>
      <c r="I1314"/>
      <c r="J1314"/>
      <c r="K1314"/>
      <c r="L1314"/>
      <c r="M1314"/>
      <c r="N1314"/>
      <c r="O1314"/>
      <c r="P1314"/>
      <c r="Q1314"/>
      <c r="R1314"/>
      <c r="S1314"/>
    </row>
    <row r="1315" spans="1:19" x14ac:dyDescent="0.25">
      <c r="A1315"/>
      <c r="B1315"/>
      <c r="C1315"/>
      <c r="D1315"/>
      <c r="E1315"/>
      <c r="F1315"/>
      <c r="G1315"/>
      <c r="H1315"/>
      <c r="I1315"/>
      <c r="J1315"/>
      <c r="K1315"/>
      <c r="L1315"/>
      <c r="M1315"/>
      <c r="N1315"/>
      <c r="O1315"/>
      <c r="P1315"/>
      <c r="Q1315"/>
      <c r="R1315"/>
      <c r="S1315"/>
    </row>
    <row r="1316" spans="1:19" x14ac:dyDescent="0.25">
      <c r="A1316"/>
      <c r="B1316"/>
      <c r="C1316"/>
      <c r="D1316"/>
      <c r="E1316"/>
      <c r="F1316"/>
      <c r="G1316"/>
      <c r="H1316"/>
      <c r="I1316"/>
      <c r="J1316"/>
      <c r="K1316"/>
      <c r="L1316"/>
      <c r="M1316"/>
      <c r="N1316"/>
      <c r="O1316"/>
      <c r="P1316"/>
      <c r="Q1316"/>
      <c r="R1316"/>
      <c r="S1316"/>
    </row>
    <row r="1317" spans="1:19" x14ac:dyDescent="0.25">
      <c r="A1317"/>
      <c r="B1317"/>
      <c r="C1317"/>
      <c r="D1317"/>
      <c r="E1317"/>
      <c r="F1317"/>
      <c r="G1317"/>
      <c r="H1317"/>
      <c r="I1317"/>
      <c r="J1317"/>
      <c r="K1317"/>
      <c r="L1317"/>
      <c r="M1317"/>
      <c r="N1317"/>
      <c r="O1317"/>
      <c r="P1317"/>
      <c r="Q1317"/>
      <c r="R1317"/>
      <c r="S1317"/>
    </row>
    <row r="1318" spans="1:19" x14ac:dyDescent="0.25">
      <c r="A1318"/>
      <c r="B1318"/>
      <c r="C1318"/>
      <c r="D1318"/>
      <c r="E1318"/>
      <c r="F1318"/>
      <c r="G1318"/>
      <c r="H1318"/>
      <c r="I1318"/>
      <c r="J1318"/>
      <c r="K1318"/>
      <c r="L1318"/>
      <c r="M1318"/>
      <c r="N1318"/>
      <c r="O1318"/>
      <c r="P1318"/>
      <c r="Q1318"/>
      <c r="R1318"/>
      <c r="S1318"/>
    </row>
    <row r="1319" spans="1:19" x14ac:dyDescent="0.25">
      <c r="A1319"/>
      <c r="B1319"/>
      <c r="C1319"/>
      <c r="D1319"/>
      <c r="E1319"/>
      <c r="F1319"/>
      <c r="G1319"/>
      <c r="H1319"/>
      <c r="I1319"/>
      <c r="J1319"/>
      <c r="K1319"/>
      <c r="L1319"/>
      <c r="M1319"/>
      <c r="N1319"/>
      <c r="O1319"/>
      <c r="P1319"/>
      <c r="Q1319"/>
      <c r="R1319"/>
      <c r="S1319"/>
    </row>
    <row r="1320" spans="1:19" x14ac:dyDescent="0.25">
      <c r="A1320"/>
      <c r="B1320"/>
      <c r="C1320"/>
      <c r="D1320"/>
      <c r="E1320"/>
      <c r="F1320"/>
      <c r="G1320"/>
      <c r="H1320"/>
      <c r="I1320"/>
      <c r="J1320"/>
      <c r="K1320"/>
      <c r="L1320"/>
      <c r="M1320"/>
      <c r="N1320"/>
      <c r="O1320"/>
      <c r="P1320"/>
      <c r="Q1320"/>
      <c r="R1320"/>
      <c r="S1320"/>
    </row>
    <row r="1321" spans="1:19" x14ac:dyDescent="0.25">
      <c r="A1321"/>
      <c r="B1321"/>
      <c r="C1321"/>
      <c r="D1321"/>
      <c r="E1321"/>
      <c r="F1321"/>
      <c r="G1321"/>
      <c r="H1321"/>
      <c r="I1321"/>
      <c r="J1321"/>
      <c r="K1321"/>
      <c r="L1321"/>
      <c r="M1321"/>
      <c r="N1321"/>
      <c r="O1321"/>
      <c r="P1321"/>
      <c r="Q1321"/>
      <c r="R1321"/>
      <c r="S1321"/>
    </row>
    <row r="1322" spans="1:19" x14ac:dyDescent="0.25">
      <c r="A1322"/>
      <c r="B1322"/>
      <c r="C1322"/>
      <c r="D1322"/>
      <c r="E1322"/>
      <c r="F1322"/>
      <c r="G1322"/>
      <c r="H1322"/>
      <c r="I1322"/>
      <c r="J1322"/>
      <c r="K1322"/>
      <c r="L1322"/>
      <c r="M1322"/>
      <c r="N1322"/>
      <c r="O1322"/>
      <c r="P1322"/>
      <c r="Q1322"/>
      <c r="R1322"/>
      <c r="S1322"/>
    </row>
    <row r="1323" spans="1:19" x14ac:dyDescent="0.25">
      <c r="A1323"/>
      <c r="B1323"/>
      <c r="C1323"/>
      <c r="D1323"/>
      <c r="E1323"/>
      <c r="F1323"/>
      <c r="G1323"/>
      <c r="H1323"/>
      <c r="I1323"/>
      <c r="J1323"/>
      <c r="K1323"/>
      <c r="L1323"/>
      <c r="M1323"/>
      <c r="N1323"/>
      <c r="O1323"/>
      <c r="P1323"/>
      <c r="Q1323"/>
      <c r="R1323"/>
      <c r="S1323"/>
    </row>
    <row r="1324" spans="1:19" x14ac:dyDescent="0.25">
      <c r="A1324"/>
      <c r="B1324"/>
      <c r="C1324"/>
      <c r="D1324"/>
      <c r="E1324"/>
      <c r="F1324"/>
      <c r="G1324"/>
      <c r="H1324"/>
      <c r="I1324"/>
      <c r="J1324"/>
      <c r="K1324"/>
      <c r="L1324"/>
      <c r="M1324"/>
      <c r="N1324"/>
      <c r="O1324"/>
      <c r="P1324"/>
      <c r="Q1324"/>
      <c r="R1324"/>
      <c r="S1324"/>
    </row>
    <row r="1325" spans="1:19" x14ac:dyDescent="0.25">
      <c r="A1325"/>
      <c r="B1325"/>
      <c r="C1325"/>
      <c r="D1325"/>
      <c r="E1325"/>
      <c r="F1325"/>
      <c r="G1325"/>
      <c r="H1325"/>
      <c r="I1325"/>
      <c r="J1325"/>
      <c r="K1325"/>
      <c r="L1325"/>
      <c r="M1325"/>
      <c r="N1325"/>
      <c r="O1325"/>
      <c r="P1325"/>
      <c r="Q1325"/>
      <c r="R1325"/>
      <c r="S1325"/>
    </row>
    <row r="1326" spans="1:19" x14ac:dyDescent="0.25">
      <c r="A1326"/>
      <c r="B1326"/>
      <c r="C1326"/>
      <c r="D1326"/>
      <c r="E1326"/>
      <c r="F1326"/>
      <c r="G1326"/>
      <c r="H1326"/>
      <c r="I1326"/>
      <c r="J1326"/>
      <c r="K1326"/>
      <c r="L1326"/>
      <c r="M1326"/>
      <c r="N1326"/>
      <c r="O1326"/>
      <c r="P1326"/>
      <c r="Q1326"/>
      <c r="R1326"/>
      <c r="S1326"/>
    </row>
    <row r="1327" spans="1:19" x14ac:dyDescent="0.25">
      <c r="A1327"/>
      <c r="B1327"/>
      <c r="C1327"/>
      <c r="D1327"/>
      <c r="E1327"/>
      <c r="F1327"/>
      <c r="G1327"/>
      <c r="H1327"/>
      <c r="I1327"/>
      <c r="J1327"/>
      <c r="K1327"/>
      <c r="L1327"/>
      <c r="M1327"/>
      <c r="N1327"/>
      <c r="O1327"/>
      <c r="P1327"/>
      <c r="Q1327"/>
      <c r="R1327"/>
      <c r="S1327"/>
    </row>
    <row r="1328" spans="1:19" x14ac:dyDescent="0.25">
      <c r="A1328"/>
      <c r="B1328"/>
      <c r="C1328"/>
      <c r="D1328"/>
      <c r="E1328"/>
      <c r="F1328"/>
      <c r="G1328"/>
      <c r="H1328"/>
      <c r="I1328"/>
      <c r="J1328"/>
      <c r="K1328"/>
      <c r="L1328"/>
      <c r="M1328"/>
      <c r="N1328"/>
      <c r="O1328"/>
      <c r="P1328"/>
      <c r="Q1328"/>
      <c r="R1328"/>
      <c r="S1328"/>
    </row>
    <row r="1329" spans="1:19" x14ac:dyDescent="0.25">
      <c r="A1329"/>
      <c r="B1329"/>
      <c r="C1329"/>
      <c r="D1329"/>
      <c r="E1329"/>
      <c r="F1329"/>
      <c r="G1329"/>
      <c r="H1329"/>
      <c r="I1329"/>
      <c r="J1329"/>
      <c r="K1329"/>
      <c r="L1329"/>
      <c r="M1329"/>
      <c r="N1329"/>
      <c r="O1329"/>
      <c r="P1329"/>
      <c r="Q1329"/>
      <c r="R1329"/>
      <c r="S1329"/>
    </row>
    <row r="1330" spans="1:19" x14ac:dyDescent="0.25">
      <c r="A1330"/>
      <c r="B1330"/>
      <c r="C1330"/>
      <c r="D1330"/>
      <c r="E1330"/>
      <c r="F1330"/>
      <c r="G1330"/>
      <c r="H1330"/>
      <c r="I1330"/>
      <c r="J1330"/>
      <c r="K1330"/>
      <c r="L1330"/>
      <c r="M1330"/>
      <c r="N1330"/>
      <c r="O1330"/>
      <c r="P1330"/>
      <c r="Q1330"/>
      <c r="R1330"/>
      <c r="S1330"/>
    </row>
    <row r="1331" spans="1:19" x14ac:dyDescent="0.25">
      <c r="A1331"/>
      <c r="B1331"/>
      <c r="C1331"/>
      <c r="D1331"/>
      <c r="E1331"/>
      <c r="F1331"/>
      <c r="G1331"/>
      <c r="H1331"/>
      <c r="I1331"/>
      <c r="J1331"/>
      <c r="K1331"/>
      <c r="L1331"/>
      <c r="M1331"/>
      <c r="N1331"/>
      <c r="O1331"/>
      <c r="P1331"/>
      <c r="Q1331"/>
      <c r="R1331"/>
      <c r="S1331"/>
    </row>
    <row r="1332" spans="1:19" x14ac:dyDescent="0.25">
      <c r="A1332"/>
      <c r="B1332"/>
      <c r="C1332"/>
      <c r="D1332"/>
      <c r="E1332"/>
      <c r="F1332"/>
      <c r="G1332"/>
      <c r="H1332"/>
      <c r="I1332"/>
      <c r="J1332"/>
      <c r="K1332"/>
      <c r="L1332"/>
      <c r="M1332"/>
      <c r="N1332"/>
      <c r="O1332"/>
      <c r="P1332"/>
      <c r="Q1332"/>
      <c r="R1332"/>
      <c r="S1332"/>
    </row>
    <row r="1333" spans="1:19" x14ac:dyDescent="0.25">
      <c r="A1333"/>
      <c r="B1333"/>
      <c r="C1333"/>
      <c r="D1333"/>
      <c r="E1333"/>
      <c r="F1333"/>
      <c r="G1333"/>
      <c r="H1333"/>
      <c r="I1333"/>
      <c r="J1333"/>
      <c r="K1333"/>
      <c r="L1333"/>
      <c r="M1333"/>
      <c r="N1333"/>
      <c r="O1333"/>
      <c r="P1333"/>
      <c r="Q1333"/>
      <c r="R1333"/>
      <c r="S1333"/>
    </row>
    <row r="1334" spans="1:19" x14ac:dyDescent="0.25">
      <c r="A1334"/>
      <c r="B1334"/>
      <c r="C1334"/>
      <c r="D1334"/>
      <c r="E1334"/>
      <c r="F1334"/>
      <c r="G1334"/>
      <c r="H1334"/>
      <c r="I1334"/>
      <c r="J1334"/>
      <c r="K1334"/>
      <c r="L1334"/>
      <c r="M1334"/>
      <c r="N1334"/>
      <c r="O1334"/>
      <c r="P1334"/>
      <c r="Q1334"/>
      <c r="R1334"/>
      <c r="S1334"/>
    </row>
    <row r="1335" spans="1:19" x14ac:dyDescent="0.25">
      <c r="A1335"/>
      <c r="B1335"/>
      <c r="C1335"/>
      <c r="D1335"/>
      <c r="E1335"/>
      <c r="F1335"/>
      <c r="G1335"/>
      <c r="H1335"/>
      <c r="I1335"/>
      <c r="J1335"/>
      <c r="K1335"/>
      <c r="L1335"/>
      <c r="M1335"/>
      <c r="N1335"/>
      <c r="O1335"/>
      <c r="P1335"/>
      <c r="Q1335"/>
      <c r="R1335"/>
      <c r="S1335"/>
    </row>
    <row r="1336" spans="1:19" x14ac:dyDescent="0.25">
      <c r="A1336"/>
      <c r="B1336"/>
      <c r="C1336"/>
      <c r="D1336"/>
      <c r="E1336"/>
      <c r="F1336"/>
      <c r="G1336"/>
      <c r="H1336"/>
      <c r="I1336"/>
      <c r="J1336"/>
      <c r="K1336"/>
      <c r="L1336"/>
      <c r="M1336"/>
      <c r="N1336"/>
      <c r="O1336"/>
      <c r="P1336"/>
      <c r="Q1336"/>
      <c r="R1336"/>
      <c r="S1336"/>
    </row>
    <row r="1337" spans="1:19" x14ac:dyDescent="0.25">
      <c r="A1337"/>
      <c r="B1337"/>
      <c r="C1337"/>
      <c r="D1337"/>
      <c r="E1337"/>
      <c r="F1337"/>
      <c r="G1337"/>
      <c r="H1337"/>
      <c r="I1337"/>
      <c r="J1337"/>
      <c r="K1337"/>
      <c r="L1337"/>
      <c r="M1337"/>
      <c r="N1337"/>
      <c r="O1337"/>
      <c r="P1337"/>
      <c r="Q1337"/>
      <c r="R1337"/>
      <c r="S1337"/>
    </row>
    <row r="1338" spans="1:19" x14ac:dyDescent="0.25">
      <c r="A1338"/>
      <c r="B1338"/>
      <c r="C1338"/>
      <c r="D1338"/>
      <c r="E1338"/>
      <c r="F1338"/>
      <c r="G1338"/>
      <c r="H1338"/>
      <c r="I1338"/>
      <c r="J1338"/>
      <c r="K1338"/>
      <c r="L1338"/>
      <c r="M1338"/>
      <c r="N1338"/>
      <c r="O1338"/>
      <c r="P1338"/>
      <c r="Q1338"/>
      <c r="R1338"/>
      <c r="S1338"/>
    </row>
    <row r="1339" spans="1:19" x14ac:dyDescent="0.25">
      <c r="A1339"/>
      <c r="B1339"/>
      <c r="C1339"/>
      <c r="D1339"/>
      <c r="E1339"/>
      <c r="F1339"/>
      <c r="G1339"/>
      <c r="H1339"/>
      <c r="I1339"/>
      <c r="J1339"/>
      <c r="K1339"/>
      <c r="L1339"/>
      <c r="M1339"/>
      <c r="N1339"/>
      <c r="O1339"/>
      <c r="P1339"/>
      <c r="Q1339"/>
      <c r="R1339"/>
      <c r="S1339"/>
    </row>
    <row r="1340" spans="1:19" x14ac:dyDescent="0.25">
      <c r="A1340"/>
      <c r="B1340"/>
      <c r="C1340"/>
      <c r="D1340"/>
      <c r="E1340"/>
      <c r="F1340"/>
      <c r="G1340"/>
      <c r="H1340"/>
      <c r="I1340"/>
      <c r="J1340"/>
      <c r="K1340"/>
      <c r="L1340"/>
      <c r="M1340"/>
      <c r="N1340"/>
      <c r="O1340"/>
      <c r="P1340"/>
      <c r="Q1340"/>
      <c r="R1340"/>
      <c r="S1340"/>
    </row>
    <row r="1341" spans="1:19" x14ac:dyDescent="0.25">
      <c r="A1341"/>
      <c r="B1341"/>
      <c r="C1341"/>
      <c r="D1341"/>
      <c r="E1341"/>
      <c r="F1341"/>
      <c r="G1341"/>
      <c r="H1341"/>
      <c r="I1341"/>
      <c r="J1341"/>
      <c r="K1341"/>
      <c r="L1341"/>
      <c r="M1341"/>
      <c r="N1341"/>
      <c r="O1341"/>
      <c r="P1341"/>
      <c r="Q1341"/>
      <c r="R1341"/>
      <c r="S1341"/>
    </row>
    <row r="1342" spans="1:19" x14ac:dyDescent="0.25">
      <c r="A1342"/>
      <c r="B1342"/>
      <c r="C1342"/>
      <c r="D1342"/>
      <c r="E1342"/>
      <c r="F1342"/>
      <c r="G1342"/>
      <c r="H1342"/>
      <c r="I1342"/>
      <c r="J1342"/>
      <c r="K1342"/>
      <c r="L1342"/>
      <c r="M1342"/>
      <c r="N1342"/>
      <c r="O1342"/>
      <c r="P1342"/>
      <c r="Q1342"/>
      <c r="R1342"/>
      <c r="S1342"/>
    </row>
    <row r="1343" spans="1:19" x14ac:dyDescent="0.25">
      <c r="A1343"/>
      <c r="B1343"/>
      <c r="C1343"/>
      <c r="D1343"/>
      <c r="E1343"/>
      <c r="F1343"/>
      <c r="G1343"/>
      <c r="H1343"/>
      <c r="I1343"/>
      <c r="J1343"/>
      <c r="K1343"/>
      <c r="L1343"/>
      <c r="M1343"/>
      <c r="N1343"/>
      <c r="O1343"/>
      <c r="P1343"/>
      <c r="Q1343"/>
      <c r="R1343"/>
      <c r="S1343"/>
    </row>
    <row r="1344" spans="1:19" x14ac:dyDescent="0.25">
      <c r="A1344"/>
      <c r="B1344"/>
      <c r="C1344"/>
      <c r="D1344"/>
      <c r="E1344"/>
      <c r="F1344"/>
      <c r="G1344"/>
      <c r="H1344"/>
      <c r="I1344"/>
      <c r="J1344"/>
      <c r="K1344"/>
      <c r="L1344"/>
      <c r="M1344"/>
      <c r="N1344"/>
      <c r="O1344"/>
      <c r="P1344"/>
      <c r="Q1344"/>
      <c r="R1344"/>
      <c r="S1344"/>
    </row>
    <row r="1345" spans="1:19" x14ac:dyDescent="0.25">
      <c r="A1345"/>
      <c r="B1345"/>
      <c r="C1345"/>
      <c r="D1345"/>
      <c r="E1345"/>
      <c r="F1345"/>
      <c r="G1345"/>
      <c r="H1345"/>
      <c r="I1345"/>
      <c r="J1345"/>
      <c r="K1345"/>
      <c r="L1345"/>
      <c r="M1345"/>
      <c r="N1345"/>
      <c r="O1345"/>
      <c r="P1345"/>
      <c r="Q1345"/>
      <c r="R1345"/>
      <c r="S1345"/>
    </row>
    <row r="1346" spans="1:19" x14ac:dyDescent="0.25">
      <c r="A1346"/>
      <c r="B1346"/>
      <c r="C1346"/>
      <c r="D1346"/>
      <c r="E1346"/>
      <c r="F1346"/>
      <c r="G1346"/>
      <c r="H1346"/>
      <c r="I1346"/>
      <c r="J1346"/>
      <c r="K1346"/>
      <c r="L1346"/>
      <c r="M1346"/>
      <c r="N1346"/>
      <c r="O1346"/>
      <c r="P1346"/>
      <c r="Q1346"/>
      <c r="R1346"/>
      <c r="S1346"/>
    </row>
    <row r="1347" spans="1:19" x14ac:dyDescent="0.25">
      <c r="A1347"/>
      <c r="B1347"/>
      <c r="C1347"/>
      <c r="D1347"/>
      <c r="E1347"/>
      <c r="F1347"/>
      <c r="G1347"/>
      <c r="H1347"/>
      <c r="I1347"/>
      <c r="J1347"/>
      <c r="K1347"/>
      <c r="L1347"/>
      <c r="M1347"/>
      <c r="N1347"/>
      <c r="O1347"/>
      <c r="P1347"/>
      <c r="Q1347"/>
      <c r="R1347"/>
      <c r="S1347"/>
    </row>
    <row r="1348" spans="1:19" x14ac:dyDescent="0.25">
      <c r="A1348"/>
      <c r="B1348"/>
      <c r="C1348"/>
      <c r="D1348"/>
      <c r="E1348"/>
      <c r="F1348"/>
      <c r="G1348"/>
      <c r="H1348"/>
      <c r="I1348"/>
      <c r="J1348"/>
      <c r="K1348"/>
      <c r="L1348"/>
      <c r="M1348"/>
      <c r="N1348"/>
      <c r="O1348"/>
      <c r="P1348"/>
      <c r="Q1348"/>
      <c r="R1348"/>
      <c r="S1348"/>
    </row>
    <row r="1349" spans="1:19" x14ac:dyDescent="0.25">
      <c r="A1349"/>
      <c r="B1349"/>
      <c r="C1349"/>
      <c r="D1349"/>
      <c r="E1349"/>
      <c r="F1349"/>
      <c r="G1349"/>
      <c r="H1349"/>
      <c r="I1349"/>
      <c r="J1349"/>
      <c r="K1349"/>
      <c r="L1349"/>
      <c r="M1349"/>
      <c r="N1349"/>
      <c r="O1349"/>
      <c r="P1349"/>
      <c r="Q1349"/>
      <c r="R1349"/>
      <c r="S1349"/>
    </row>
    <row r="1350" spans="1:19" x14ac:dyDescent="0.25">
      <c r="A1350"/>
      <c r="B1350"/>
      <c r="C1350"/>
      <c r="D1350"/>
      <c r="E1350"/>
      <c r="F1350"/>
      <c r="G1350"/>
      <c r="H1350"/>
      <c r="I1350"/>
      <c r="J1350"/>
      <c r="K1350"/>
      <c r="L1350"/>
      <c r="M1350"/>
      <c r="N1350"/>
      <c r="O1350"/>
      <c r="P1350"/>
      <c r="Q1350"/>
      <c r="R1350"/>
      <c r="S1350"/>
    </row>
    <row r="1351" spans="1:19" x14ac:dyDescent="0.25">
      <c r="A1351"/>
      <c r="B1351"/>
      <c r="C1351"/>
      <c r="D1351"/>
      <c r="E1351"/>
      <c r="F1351"/>
      <c r="G1351"/>
      <c r="H1351"/>
      <c r="I1351"/>
      <c r="J1351"/>
      <c r="K1351"/>
      <c r="L1351"/>
      <c r="M1351"/>
      <c r="N1351"/>
      <c r="O1351"/>
      <c r="P1351"/>
      <c r="Q1351"/>
      <c r="R1351"/>
      <c r="S1351"/>
    </row>
    <row r="1352" spans="1:19" x14ac:dyDescent="0.25">
      <c r="A1352"/>
      <c r="B1352"/>
      <c r="C1352"/>
      <c r="D1352"/>
      <c r="E1352"/>
      <c r="F1352"/>
      <c r="G1352"/>
      <c r="H1352"/>
      <c r="I1352"/>
      <c r="J1352"/>
      <c r="K1352"/>
      <c r="L1352"/>
      <c r="M1352"/>
      <c r="N1352"/>
      <c r="O1352"/>
      <c r="P1352"/>
      <c r="Q1352"/>
      <c r="R1352"/>
      <c r="S1352"/>
    </row>
    <row r="1353" spans="1:19" x14ac:dyDescent="0.25">
      <c r="A1353"/>
      <c r="B1353"/>
      <c r="C1353"/>
      <c r="D1353"/>
      <c r="E1353"/>
      <c r="F1353"/>
      <c r="G1353"/>
      <c r="H1353"/>
      <c r="I1353"/>
      <c r="J1353"/>
      <c r="K1353"/>
      <c r="L1353"/>
      <c r="M1353"/>
      <c r="N1353"/>
      <c r="O1353"/>
      <c r="P1353"/>
      <c r="Q1353"/>
      <c r="R1353"/>
      <c r="S1353"/>
    </row>
    <row r="1354" spans="1:19" x14ac:dyDescent="0.25">
      <c r="A1354"/>
      <c r="B1354"/>
      <c r="C1354"/>
      <c r="D1354"/>
      <c r="E1354"/>
      <c r="F1354"/>
      <c r="G1354"/>
      <c r="H1354"/>
      <c r="I1354"/>
      <c r="J1354"/>
      <c r="K1354"/>
      <c r="L1354"/>
      <c r="M1354"/>
      <c r="N1354"/>
      <c r="O1354"/>
      <c r="P1354"/>
      <c r="Q1354"/>
      <c r="R1354"/>
      <c r="S1354"/>
    </row>
    <row r="1355" spans="1:19" x14ac:dyDescent="0.25">
      <c r="A1355"/>
      <c r="B1355"/>
      <c r="C1355"/>
      <c r="D1355"/>
      <c r="E1355"/>
      <c r="F1355"/>
      <c r="G1355"/>
      <c r="H1355"/>
      <c r="I1355"/>
      <c r="J1355"/>
      <c r="K1355"/>
      <c r="L1355"/>
      <c r="M1355"/>
      <c r="N1355"/>
      <c r="O1355"/>
      <c r="P1355"/>
      <c r="Q1355"/>
      <c r="R1355"/>
      <c r="S1355"/>
    </row>
    <row r="1356" spans="1:19" x14ac:dyDescent="0.25">
      <c r="A1356"/>
      <c r="B1356"/>
      <c r="C1356"/>
      <c r="D1356"/>
      <c r="E1356"/>
      <c r="F1356"/>
      <c r="G1356"/>
      <c r="H1356"/>
      <c r="I1356"/>
      <c r="J1356"/>
      <c r="K1356"/>
      <c r="L1356"/>
      <c r="M1356"/>
      <c r="N1356"/>
      <c r="O1356"/>
      <c r="P1356"/>
      <c r="Q1356"/>
      <c r="R1356"/>
      <c r="S1356"/>
    </row>
    <row r="1357" spans="1:19" x14ac:dyDescent="0.25">
      <c r="A1357"/>
      <c r="B1357"/>
      <c r="C1357"/>
      <c r="D1357"/>
      <c r="E1357"/>
      <c r="F1357"/>
      <c r="G1357"/>
      <c r="H1357"/>
      <c r="I1357"/>
      <c r="J1357"/>
      <c r="K1357"/>
      <c r="L1357"/>
      <c r="M1357"/>
      <c r="N1357"/>
      <c r="O1357"/>
      <c r="P1357"/>
      <c r="Q1357"/>
      <c r="R1357"/>
      <c r="S1357"/>
    </row>
    <row r="1358" spans="1:19" x14ac:dyDescent="0.25">
      <c r="A1358"/>
      <c r="B1358"/>
      <c r="C1358"/>
      <c r="D1358"/>
      <c r="E1358"/>
      <c r="F1358"/>
      <c r="G1358"/>
      <c r="H1358"/>
      <c r="I1358"/>
      <c r="J1358"/>
      <c r="K1358"/>
      <c r="L1358"/>
      <c r="M1358"/>
      <c r="N1358"/>
      <c r="O1358"/>
      <c r="P1358"/>
      <c r="Q1358"/>
      <c r="R1358"/>
      <c r="S1358"/>
    </row>
    <row r="1359" spans="1:19" x14ac:dyDescent="0.25">
      <c r="A1359"/>
      <c r="B1359"/>
      <c r="C1359"/>
      <c r="D1359"/>
      <c r="E1359"/>
      <c r="F1359"/>
      <c r="G1359"/>
      <c r="H1359"/>
      <c r="I1359"/>
      <c r="J1359"/>
      <c r="K1359"/>
      <c r="L1359"/>
      <c r="M1359"/>
      <c r="N1359"/>
      <c r="O1359"/>
      <c r="P1359"/>
      <c r="Q1359"/>
      <c r="R1359"/>
      <c r="S1359"/>
    </row>
    <row r="1360" spans="1:19" x14ac:dyDescent="0.25">
      <c r="A1360"/>
      <c r="B1360"/>
      <c r="C1360"/>
      <c r="D1360"/>
      <c r="E1360"/>
      <c r="F1360"/>
      <c r="G1360"/>
      <c r="H1360"/>
      <c r="I1360"/>
      <c r="J1360"/>
      <c r="K1360"/>
      <c r="L1360"/>
      <c r="M1360"/>
      <c r="N1360"/>
      <c r="O1360"/>
      <c r="P1360"/>
      <c r="Q1360"/>
      <c r="R1360"/>
      <c r="S1360"/>
    </row>
    <row r="1361" spans="1:19" x14ac:dyDescent="0.25">
      <c r="A1361"/>
      <c r="B1361"/>
      <c r="C1361"/>
      <c r="D1361"/>
      <c r="E1361"/>
      <c r="F1361"/>
      <c r="G1361"/>
      <c r="H1361"/>
      <c r="I1361"/>
      <c r="J1361"/>
      <c r="K1361"/>
      <c r="L1361"/>
      <c r="M1361"/>
      <c r="N1361"/>
      <c r="O1361"/>
      <c r="P1361"/>
      <c r="Q1361"/>
      <c r="R1361"/>
      <c r="S1361"/>
    </row>
    <row r="1362" spans="1:19" x14ac:dyDescent="0.25">
      <c r="A1362"/>
      <c r="B1362"/>
      <c r="C1362"/>
      <c r="D1362"/>
      <c r="E1362"/>
      <c r="F1362"/>
      <c r="G1362"/>
      <c r="H1362"/>
      <c r="I1362"/>
      <c r="J1362"/>
      <c r="K1362"/>
      <c r="L1362"/>
      <c r="M1362"/>
      <c r="N1362"/>
      <c r="O1362"/>
      <c r="P1362"/>
      <c r="Q1362"/>
      <c r="R1362"/>
      <c r="S1362"/>
    </row>
    <row r="1363" spans="1:19" x14ac:dyDescent="0.25">
      <c r="A1363"/>
      <c r="B1363"/>
      <c r="C1363"/>
      <c r="D1363"/>
      <c r="E1363"/>
      <c r="F1363"/>
      <c r="G1363"/>
      <c r="H1363"/>
      <c r="I1363"/>
      <c r="J1363"/>
      <c r="K1363"/>
      <c r="L1363"/>
      <c r="M1363"/>
      <c r="N1363"/>
      <c r="O1363"/>
      <c r="P1363"/>
      <c r="Q1363"/>
      <c r="R1363"/>
      <c r="S1363"/>
    </row>
    <row r="1364" spans="1:19" x14ac:dyDescent="0.25">
      <c r="A1364"/>
      <c r="B1364"/>
      <c r="C1364"/>
      <c r="D1364"/>
      <c r="E1364"/>
      <c r="F1364"/>
      <c r="G1364"/>
      <c r="H1364"/>
      <c r="I1364"/>
      <c r="J1364"/>
      <c r="K1364"/>
      <c r="L1364"/>
      <c r="M1364"/>
      <c r="N1364"/>
      <c r="O1364"/>
      <c r="P1364"/>
      <c r="Q1364"/>
      <c r="R1364"/>
      <c r="S1364"/>
    </row>
    <row r="1365" spans="1:19" x14ac:dyDescent="0.25">
      <c r="A1365"/>
      <c r="B1365"/>
      <c r="C1365"/>
      <c r="D1365"/>
      <c r="E1365"/>
      <c r="F1365"/>
      <c r="G1365"/>
      <c r="H1365"/>
      <c r="I1365"/>
      <c r="J1365"/>
      <c r="K1365"/>
      <c r="L1365"/>
      <c r="M1365"/>
      <c r="N1365"/>
      <c r="O1365"/>
      <c r="P1365"/>
      <c r="Q1365"/>
      <c r="R1365"/>
      <c r="S1365"/>
    </row>
    <row r="1366" spans="1:19" x14ac:dyDescent="0.25">
      <c r="A1366"/>
      <c r="B1366"/>
      <c r="C1366"/>
      <c r="D1366"/>
      <c r="E1366"/>
      <c r="F1366"/>
      <c r="G1366"/>
      <c r="H1366"/>
      <c r="I1366"/>
      <c r="J1366"/>
      <c r="K1366"/>
      <c r="L1366"/>
      <c r="M1366"/>
      <c r="N1366"/>
      <c r="O1366"/>
      <c r="P1366"/>
      <c r="Q1366"/>
      <c r="R1366"/>
      <c r="S1366"/>
    </row>
    <row r="1367" spans="1:19" x14ac:dyDescent="0.25">
      <c r="A1367"/>
      <c r="B1367"/>
      <c r="C1367"/>
      <c r="D1367"/>
      <c r="E1367"/>
      <c r="F1367"/>
      <c r="G1367"/>
      <c r="H1367"/>
      <c r="I1367"/>
      <c r="J1367"/>
      <c r="K1367"/>
      <c r="L1367"/>
      <c r="M1367"/>
      <c r="N1367"/>
      <c r="O1367"/>
      <c r="P1367"/>
      <c r="Q1367"/>
      <c r="R1367"/>
      <c r="S1367"/>
    </row>
    <row r="1368" spans="1:19" x14ac:dyDescent="0.25">
      <c r="A1368"/>
      <c r="B1368"/>
      <c r="C1368"/>
      <c r="D1368"/>
      <c r="E1368"/>
      <c r="F1368"/>
      <c r="G1368"/>
      <c r="H1368"/>
      <c r="I1368"/>
      <c r="J1368"/>
      <c r="K1368"/>
      <c r="L1368"/>
      <c r="M1368"/>
      <c r="N1368"/>
      <c r="O1368"/>
      <c r="P1368"/>
      <c r="Q1368"/>
      <c r="R1368"/>
      <c r="S1368"/>
    </row>
    <row r="1369" spans="1:19" x14ac:dyDescent="0.25">
      <c r="A1369"/>
      <c r="B1369"/>
      <c r="C1369"/>
      <c r="D1369"/>
      <c r="E1369"/>
      <c r="F1369"/>
      <c r="G1369"/>
      <c r="H1369"/>
      <c r="I1369"/>
      <c r="J1369"/>
      <c r="K1369"/>
      <c r="L1369"/>
      <c r="M1369"/>
      <c r="N1369"/>
      <c r="O1369"/>
      <c r="P1369"/>
      <c r="Q1369"/>
      <c r="R1369"/>
      <c r="S1369"/>
    </row>
    <row r="1370" spans="1:19" x14ac:dyDescent="0.25">
      <c r="A1370"/>
      <c r="B1370"/>
      <c r="C1370"/>
      <c r="D1370"/>
      <c r="E1370"/>
      <c r="F1370"/>
      <c r="G1370"/>
      <c r="H1370"/>
      <c r="I1370"/>
      <c r="J1370"/>
      <c r="K1370"/>
      <c r="L1370"/>
      <c r="M1370"/>
      <c r="N1370"/>
      <c r="O1370"/>
      <c r="P1370"/>
      <c r="Q1370"/>
      <c r="R1370"/>
      <c r="S1370"/>
    </row>
    <row r="1371" spans="1:19" x14ac:dyDescent="0.25">
      <c r="A1371"/>
      <c r="B1371"/>
      <c r="C1371"/>
      <c r="D1371"/>
      <c r="E1371"/>
      <c r="F1371"/>
      <c r="G1371"/>
      <c r="H1371"/>
      <c r="I1371"/>
      <c r="J1371"/>
      <c r="K1371"/>
      <c r="L1371"/>
      <c r="M1371"/>
      <c r="N1371"/>
      <c r="O1371"/>
      <c r="P1371"/>
      <c r="Q1371"/>
      <c r="R1371"/>
      <c r="S1371"/>
    </row>
    <row r="1372" spans="1:19" x14ac:dyDescent="0.25">
      <c r="A1372"/>
      <c r="B1372"/>
      <c r="C1372"/>
      <c r="D1372"/>
      <c r="E1372"/>
      <c r="F1372"/>
      <c r="G1372"/>
      <c r="H1372"/>
      <c r="I1372"/>
      <c r="J1372"/>
      <c r="K1372"/>
      <c r="L1372"/>
      <c r="M1372"/>
      <c r="N1372"/>
      <c r="O1372"/>
      <c r="P1372"/>
      <c r="Q1372"/>
      <c r="R1372"/>
      <c r="S1372"/>
    </row>
    <row r="1373" spans="1:19" x14ac:dyDescent="0.25">
      <c r="A1373"/>
      <c r="B1373"/>
      <c r="C1373"/>
      <c r="D1373"/>
      <c r="E1373"/>
      <c r="F1373"/>
      <c r="G1373"/>
      <c r="H1373"/>
      <c r="I1373"/>
      <c r="J1373"/>
      <c r="K1373"/>
      <c r="L1373"/>
      <c r="M1373"/>
      <c r="N1373"/>
      <c r="O1373"/>
      <c r="P1373"/>
      <c r="Q1373"/>
      <c r="R1373"/>
      <c r="S1373"/>
    </row>
    <row r="1374" spans="1:19" x14ac:dyDescent="0.25">
      <c r="A1374"/>
      <c r="B1374"/>
      <c r="C1374"/>
      <c r="D1374"/>
      <c r="E1374"/>
      <c r="F1374"/>
      <c r="G1374"/>
      <c r="H1374"/>
      <c r="I1374"/>
      <c r="J1374"/>
      <c r="K1374"/>
      <c r="L1374"/>
      <c r="M1374"/>
      <c r="N1374"/>
      <c r="O1374"/>
      <c r="P1374"/>
      <c r="Q1374"/>
      <c r="R1374"/>
      <c r="S1374"/>
    </row>
    <row r="1375" spans="1:19" x14ac:dyDescent="0.25">
      <c r="A1375"/>
      <c r="B1375"/>
      <c r="C1375"/>
      <c r="D1375"/>
      <c r="E1375"/>
      <c r="F1375"/>
      <c r="G1375"/>
      <c r="H1375"/>
      <c r="I1375"/>
      <c r="J1375"/>
      <c r="K1375"/>
      <c r="L1375"/>
      <c r="M1375"/>
      <c r="N1375"/>
      <c r="O1375"/>
      <c r="P1375"/>
      <c r="Q1375"/>
      <c r="R1375"/>
      <c r="S1375"/>
    </row>
    <row r="1376" spans="1:19" x14ac:dyDescent="0.25">
      <c r="A1376"/>
      <c r="B1376"/>
      <c r="C1376"/>
      <c r="D1376"/>
      <c r="E1376"/>
      <c r="F1376"/>
      <c r="G1376"/>
      <c r="H1376"/>
      <c r="I1376"/>
      <c r="J1376"/>
      <c r="K1376"/>
      <c r="L1376"/>
      <c r="M1376"/>
      <c r="N1376"/>
      <c r="O1376"/>
      <c r="P1376"/>
      <c r="Q1376"/>
      <c r="R1376"/>
      <c r="S1376"/>
    </row>
    <row r="1377" spans="1:19" x14ac:dyDescent="0.25">
      <c r="A1377"/>
      <c r="B1377"/>
      <c r="C1377"/>
      <c r="D1377"/>
      <c r="E1377"/>
      <c r="F1377"/>
      <c r="G1377"/>
      <c r="H1377"/>
      <c r="I1377"/>
      <c r="J1377"/>
      <c r="K1377"/>
      <c r="L1377"/>
      <c r="M1377"/>
      <c r="N1377"/>
      <c r="O1377"/>
      <c r="P1377"/>
      <c r="Q1377"/>
      <c r="R1377"/>
      <c r="S1377"/>
    </row>
    <row r="1378" spans="1:19" x14ac:dyDescent="0.25">
      <c r="A1378"/>
      <c r="B1378"/>
      <c r="C1378"/>
      <c r="D1378"/>
      <c r="E1378"/>
      <c r="F1378"/>
      <c r="G1378"/>
      <c r="H1378"/>
      <c r="I1378"/>
      <c r="J1378"/>
      <c r="K1378"/>
      <c r="L1378"/>
      <c r="M1378"/>
      <c r="N1378"/>
      <c r="O1378"/>
      <c r="P1378"/>
      <c r="Q1378"/>
      <c r="R1378"/>
      <c r="S1378"/>
    </row>
    <row r="1379" spans="1:19" x14ac:dyDescent="0.25">
      <c r="A1379"/>
      <c r="B1379"/>
      <c r="C1379"/>
      <c r="D1379"/>
      <c r="E1379"/>
      <c r="F1379"/>
      <c r="G1379"/>
      <c r="H1379"/>
      <c r="I1379"/>
      <c r="J1379"/>
      <c r="K1379"/>
      <c r="L1379"/>
      <c r="M1379"/>
      <c r="N1379"/>
      <c r="O1379"/>
      <c r="P1379"/>
      <c r="Q1379"/>
      <c r="R1379"/>
      <c r="S1379"/>
    </row>
    <row r="1380" spans="1:19" x14ac:dyDescent="0.25">
      <c r="A1380"/>
      <c r="B1380"/>
      <c r="C1380"/>
      <c r="D1380"/>
      <c r="E1380"/>
      <c r="F1380"/>
      <c r="G1380"/>
      <c r="H1380"/>
      <c r="I1380"/>
      <c r="J1380"/>
      <c r="K1380"/>
      <c r="L1380"/>
      <c r="M1380"/>
      <c r="N1380"/>
      <c r="O1380"/>
      <c r="P1380"/>
      <c r="Q1380"/>
      <c r="R1380"/>
      <c r="S1380"/>
    </row>
    <row r="1381" spans="1:19" x14ac:dyDescent="0.25">
      <c r="A1381"/>
      <c r="B1381"/>
      <c r="C1381"/>
      <c r="D1381"/>
      <c r="E1381"/>
      <c r="F1381"/>
      <c r="G1381"/>
      <c r="H1381"/>
      <c r="I1381"/>
      <c r="J1381"/>
      <c r="K1381"/>
      <c r="L1381"/>
      <c r="M1381"/>
      <c r="N1381"/>
      <c r="O1381"/>
      <c r="P1381"/>
      <c r="Q1381"/>
      <c r="R1381"/>
      <c r="S1381"/>
    </row>
    <row r="1382" spans="1:19" x14ac:dyDescent="0.25">
      <c r="A1382"/>
      <c r="B1382"/>
      <c r="C1382"/>
      <c r="D1382"/>
      <c r="E1382"/>
      <c r="F1382"/>
      <c r="G1382"/>
      <c r="H1382"/>
      <c r="I1382"/>
      <c r="J1382"/>
      <c r="K1382"/>
      <c r="L1382"/>
      <c r="M1382"/>
      <c r="N1382"/>
      <c r="O1382"/>
      <c r="P1382"/>
      <c r="Q1382"/>
      <c r="R1382"/>
      <c r="S1382"/>
    </row>
    <row r="1383" spans="1:19" x14ac:dyDescent="0.25">
      <c r="A1383"/>
      <c r="B1383"/>
      <c r="C1383"/>
      <c r="D1383"/>
      <c r="E1383"/>
      <c r="F1383"/>
      <c r="G1383"/>
      <c r="H1383"/>
      <c r="I1383"/>
      <c r="J1383"/>
      <c r="K1383"/>
      <c r="L1383"/>
      <c r="M1383"/>
      <c r="N1383"/>
      <c r="O1383"/>
      <c r="P1383"/>
      <c r="Q1383"/>
      <c r="R1383"/>
      <c r="S1383"/>
    </row>
    <row r="1384" spans="1:19" x14ac:dyDescent="0.25">
      <c r="A1384"/>
      <c r="B1384"/>
      <c r="C1384"/>
      <c r="D1384"/>
      <c r="E1384"/>
      <c r="F1384"/>
      <c r="G1384"/>
      <c r="H1384"/>
      <c r="I1384"/>
      <c r="J1384"/>
      <c r="K1384"/>
      <c r="L1384"/>
      <c r="M1384"/>
      <c r="N1384"/>
      <c r="O1384"/>
      <c r="P1384"/>
      <c r="Q1384"/>
      <c r="R1384"/>
      <c r="S1384"/>
    </row>
    <row r="1385" spans="1:19" x14ac:dyDescent="0.25">
      <c r="A1385"/>
      <c r="B1385"/>
      <c r="C1385"/>
      <c r="D1385"/>
      <c r="E1385"/>
      <c r="F1385"/>
      <c r="G1385"/>
      <c r="H1385"/>
      <c r="I1385"/>
      <c r="J1385"/>
      <c r="K1385"/>
      <c r="L1385"/>
      <c r="M1385"/>
      <c r="N1385"/>
      <c r="O1385"/>
      <c r="P1385"/>
      <c r="Q1385"/>
      <c r="R1385"/>
      <c r="S1385"/>
    </row>
    <row r="1386" spans="1:19" x14ac:dyDescent="0.25">
      <c r="A1386"/>
      <c r="B1386"/>
      <c r="C1386"/>
      <c r="D1386"/>
      <c r="E1386"/>
      <c r="F1386"/>
      <c r="G1386"/>
      <c r="H1386"/>
      <c r="I1386"/>
      <c r="J1386"/>
      <c r="K1386"/>
      <c r="L1386"/>
      <c r="M1386"/>
      <c r="N1386"/>
      <c r="O1386"/>
      <c r="P1386"/>
      <c r="Q1386"/>
      <c r="R1386"/>
      <c r="S1386"/>
    </row>
    <row r="1387" spans="1:19" x14ac:dyDescent="0.25">
      <c r="A1387"/>
      <c r="B1387"/>
      <c r="C1387"/>
      <c r="D1387"/>
      <c r="E1387"/>
      <c r="F1387"/>
      <c r="G1387"/>
      <c r="H1387"/>
      <c r="I1387"/>
      <c r="J1387"/>
      <c r="K1387"/>
      <c r="L1387"/>
      <c r="M1387"/>
      <c r="N1387"/>
      <c r="O1387"/>
      <c r="P1387"/>
      <c r="Q1387"/>
      <c r="R1387"/>
      <c r="S1387"/>
    </row>
    <row r="1388" spans="1:19" x14ac:dyDescent="0.25">
      <c r="A1388"/>
      <c r="B1388"/>
      <c r="C1388"/>
      <c r="D1388"/>
      <c r="E1388"/>
      <c r="F1388"/>
      <c r="G1388"/>
      <c r="H1388"/>
      <c r="I1388"/>
      <c r="J1388"/>
      <c r="K1388"/>
      <c r="L1388"/>
      <c r="M1388"/>
      <c r="N1388"/>
      <c r="O1388"/>
      <c r="P1388"/>
      <c r="Q1388"/>
      <c r="R1388"/>
      <c r="S1388"/>
    </row>
    <row r="1389" spans="1:19" x14ac:dyDescent="0.25">
      <c r="A1389"/>
      <c r="B1389"/>
      <c r="C1389"/>
      <c r="D1389"/>
      <c r="E1389"/>
      <c r="F1389"/>
      <c r="G1389"/>
      <c r="H1389"/>
      <c r="I1389"/>
      <c r="J1389"/>
      <c r="K1389"/>
      <c r="L1389"/>
      <c r="M1389"/>
      <c r="N1389"/>
      <c r="O1389"/>
      <c r="P1389"/>
      <c r="Q1389"/>
      <c r="R1389"/>
      <c r="S1389"/>
    </row>
    <row r="1390" spans="1:19" x14ac:dyDescent="0.25">
      <c r="A1390"/>
      <c r="B1390"/>
      <c r="C1390"/>
      <c r="D1390"/>
      <c r="E1390"/>
      <c r="F1390"/>
      <c r="G1390"/>
      <c r="H1390"/>
      <c r="I1390"/>
      <c r="J1390"/>
      <c r="K1390"/>
      <c r="L1390"/>
      <c r="M1390"/>
      <c r="N1390"/>
      <c r="O1390"/>
      <c r="P1390"/>
      <c r="Q1390"/>
      <c r="R1390"/>
      <c r="S1390"/>
    </row>
    <row r="1391" spans="1:19" x14ac:dyDescent="0.25">
      <c r="A1391"/>
      <c r="B1391"/>
      <c r="C1391"/>
      <c r="D1391"/>
      <c r="E1391"/>
      <c r="F1391"/>
      <c r="G1391"/>
      <c r="H1391"/>
      <c r="I1391"/>
      <c r="J1391"/>
      <c r="K1391"/>
      <c r="L1391"/>
      <c r="M1391"/>
      <c r="N1391"/>
      <c r="O1391"/>
      <c r="P1391"/>
      <c r="Q1391"/>
      <c r="R1391"/>
      <c r="S1391"/>
    </row>
    <row r="1392" spans="1:19" x14ac:dyDescent="0.25">
      <c r="A1392"/>
      <c r="B1392"/>
      <c r="C1392"/>
      <c r="D1392"/>
      <c r="E1392"/>
      <c r="F1392"/>
      <c r="G1392"/>
      <c r="H1392"/>
      <c r="I1392"/>
      <c r="J1392"/>
      <c r="K1392"/>
      <c r="L1392"/>
      <c r="M1392"/>
      <c r="N1392"/>
      <c r="O1392"/>
      <c r="P1392"/>
      <c r="Q1392"/>
      <c r="R1392"/>
      <c r="S1392"/>
    </row>
    <row r="1393" spans="1:19" x14ac:dyDescent="0.25">
      <c r="A1393"/>
      <c r="B1393"/>
      <c r="C1393"/>
      <c r="D1393"/>
      <c r="E1393"/>
      <c r="F1393"/>
      <c r="G1393"/>
      <c r="H1393"/>
      <c r="I1393"/>
      <c r="J1393"/>
      <c r="K1393"/>
      <c r="L1393"/>
      <c r="M1393"/>
      <c r="N1393"/>
      <c r="O1393"/>
      <c r="P1393"/>
      <c r="Q1393"/>
      <c r="R1393"/>
      <c r="S1393"/>
    </row>
    <row r="1394" spans="1:19" x14ac:dyDescent="0.25">
      <c r="A1394"/>
      <c r="B1394"/>
      <c r="C1394"/>
      <c r="D1394"/>
      <c r="E1394"/>
      <c r="F1394"/>
      <c r="G1394"/>
      <c r="H1394"/>
      <c r="I1394"/>
      <c r="J1394"/>
      <c r="K1394"/>
      <c r="L1394"/>
      <c r="M1394"/>
      <c r="N1394"/>
      <c r="O1394"/>
      <c r="P1394"/>
      <c r="Q1394"/>
      <c r="R1394"/>
      <c r="S1394"/>
    </row>
    <row r="1395" spans="1:19" x14ac:dyDescent="0.25">
      <c r="A1395"/>
      <c r="B1395"/>
      <c r="C1395"/>
      <c r="D1395"/>
      <c r="E1395"/>
      <c r="F1395"/>
      <c r="G1395"/>
      <c r="H1395"/>
      <c r="I1395"/>
      <c r="J1395"/>
      <c r="K1395"/>
      <c r="L1395"/>
      <c r="M1395"/>
      <c r="N1395"/>
      <c r="O1395"/>
      <c r="P1395"/>
      <c r="Q1395"/>
      <c r="R1395"/>
      <c r="S1395"/>
    </row>
    <row r="1396" spans="1:19" x14ac:dyDescent="0.25">
      <c r="A1396"/>
      <c r="B1396"/>
      <c r="C1396"/>
      <c r="D1396"/>
      <c r="E1396"/>
      <c r="F1396"/>
      <c r="G1396"/>
      <c r="H1396"/>
      <c r="I1396"/>
      <c r="J1396"/>
      <c r="K1396"/>
      <c r="L1396"/>
      <c r="M1396"/>
      <c r="N1396"/>
      <c r="O1396"/>
      <c r="P1396"/>
      <c r="Q1396"/>
      <c r="R1396"/>
      <c r="S1396"/>
    </row>
    <row r="1397" spans="1:19" x14ac:dyDescent="0.25">
      <c r="A1397"/>
      <c r="B1397"/>
      <c r="C1397"/>
      <c r="D1397"/>
      <c r="E1397"/>
      <c r="F1397"/>
      <c r="G1397"/>
      <c r="H1397"/>
      <c r="I1397"/>
      <c r="J1397"/>
      <c r="K1397"/>
      <c r="L1397"/>
      <c r="M1397"/>
      <c r="N1397"/>
      <c r="O1397"/>
      <c r="P1397"/>
      <c r="Q1397"/>
      <c r="R1397"/>
      <c r="S1397"/>
    </row>
    <row r="1398" spans="1:19" x14ac:dyDescent="0.25">
      <c r="A1398"/>
      <c r="B1398"/>
      <c r="C1398"/>
      <c r="D1398"/>
      <c r="E1398"/>
      <c r="F1398"/>
      <c r="G1398"/>
      <c r="H1398"/>
      <c r="I1398"/>
      <c r="J1398"/>
      <c r="K1398"/>
      <c r="L1398"/>
      <c r="M1398"/>
      <c r="N1398"/>
      <c r="O1398"/>
      <c r="P1398"/>
      <c r="Q1398"/>
      <c r="R1398"/>
      <c r="S1398"/>
    </row>
    <row r="1399" spans="1:19" x14ac:dyDescent="0.25">
      <c r="A1399"/>
      <c r="B1399"/>
      <c r="C1399"/>
      <c r="D1399"/>
      <c r="E1399"/>
      <c r="F1399"/>
      <c r="G1399"/>
      <c r="H1399"/>
      <c r="I1399"/>
      <c r="J1399"/>
      <c r="K1399"/>
      <c r="L1399"/>
      <c r="M1399"/>
      <c r="N1399"/>
      <c r="O1399"/>
      <c r="P1399"/>
      <c r="Q1399"/>
      <c r="R1399"/>
      <c r="S1399"/>
    </row>
    <row r="1400" spans="1:19" x14ac:dyDescent="0.25">
      <c r="A1400"/>
      <c r="B1400"/>
      <c r="C1400"/>
      <c r="D1400"/>
      <c r="E1400"/>
      <c r="F1400"/>
      <c r="G1400"/>
      <c r="H1400"/>
      <c r="I1400"/>
      <c r="J1400"/>
      <c r="K1400"/>
      <c r="L1400"/>
      <c r="M1400"/>
      <c r="N1400"/>
      <c r="O1400"/>
      <c r="P1400"/>
      <c r="Q1400"/>
      <c r="R1400"/>
      <c r="S1400"/>
    </row>
    <row r="1401" spans="1:19" x14ac:dyDescent="0.25">
      <c r="A1401"/>
      <c r="B1401"/>
      <c r="C1401"/>
      <c r="D1401"/>
      <c r="E1401"/>
      <c r="F1401"/>
      <c r="G1401"/>
      <c r="H1401"/>
      <c r="I1401"/>
      <c r="J1401"/>
      <c r="K1401"/>
      <c r="L1401"/>
      <c r="M1401"/>
      <c r="N1401"/>
      <c r="O1401"/>
      <c r="P1401"/>
      <c r="Q1401"/>
      <c r="R1401"/>
      <c r="S1401"/>
    </row>
    <row r="1402" spans="1:19" x14ac:dyDescent="0.25">
      <c r="A1402"/>
      <c r="B1402"/>
      <c r="C1402"/>
      <c r="D1402"/>
      <c r="E1402"/>
      <c r="F1402"/>
      <c r="G1402"/>
      <c r="H1402"/>
      <c r="I1402"/>
      <c r="J1402"/>
      <c r="K1402"/>
      <c r="L1402"/>
      <c r="M1402"/>
      <c r="N1402"/>
      <c r="O1402"/>
      <c r="P1402"/>
      <c r="Q1402"/>
      <c r="R1402"/>
      <c r="S1402"/>
    </row>
    <row r="1403" spans="1:19" x14ac:dyDescent="0.25">
      <c r="A1403"/>
      <c r="B1403"/>
      <c r="C1403"/>
      <c r="D1403"/>
      <c r="E1403"/>
      <c r="F1403"/>
      <c r="G1403"/>
      <c r="H1403"/>
      <c r="I1403"/>
      <c r="J1403"/>
      <c r="K1403"/>
      <c r="L1403"/>
      <c r="M1403"/>
      <c r="N1403"/>
      <c r="O1403"/>
      <c r="P1403"/>
      <c r="Q1403"/>
      <c r="R1403"/>
      <c r="S1403"/>
    </row>
    <row r="1404" spans="1:19" x14ac:dyDescent="0.25">
      <c r="A1404"/>
      <c r="B1404"/>
      <c r="C1404"/>
      <c r="D1404"/>
      <c r="E1404"/>
      <c r="F1404"/>
      <c r="G1404"/>
      <c r="H1404"/>
      <c r="I1404"/>
      <c r="J1404"/>
      <c r="K1404"/>
      <c r="L1404"/>
      <c r="M1404"/>
      <c r="N1404"/>
      <c r="O1404"/>
      <c r="P1404"/>
      <c r="Q1404"/>
      <c r="R1404"/>
      <c r="S1404"/>
    </row>
    <row r="1405" spans="1:19" x14ac:dyDescent="0.25">
      <c r="A1405"/>
      <c r="B1405"/>
      <c r="C1405"/>
      <c r="D1405"/>
      <c r="E1405"/>
      <c r="F1405"/>
      <c r="G1405"/>
      <c r="H1405"/>
      <c r="I1405"/>
      <c r="J1405"/>
      <c r="K1405"/>
      <c r="L1405"/>
      <c r="M1405"/>
      <c r="N1405"/>
      <c r="O1405"/>
      <c r="P1405"/>
      <c r="Q1405"/>
      <c r="R1405"/>
      <c r="S1405"/>
    </row>
    <row r="1406" spans="1:19" x14ac:dyDescent="0.25">
      <c r="A1406"/>
      <c r="B1406"/>
      <c r="C1406"/>
      <c r="D1406"/>
      <c r="E1406"/>
      <c r="F1406"/>
      <c r="G1406"/>
      <c r="H1406"/>
      <c r="I1406"/>
      <c r="J1406"/>
      <c r="K1406"/>
      <c r="L1406"/>
      <c r="M1406"/>
      <c r="N1406"/>
      <c r="O1406"/>
      <c r="P1406"/>
      <c r="Q1406"/>
      <c r="R1406"/>
      <c r="S1406"/>
    </row>
    <row r="1407" spans="1:19" x14ac:dyDescent="0.25">
      <c r="A1407"/>
      <c r="B1407"/>
      <c r="C1407"/>
      <c r="D1407"/>
      <c r="E1407"/>
      <c r="F1407"/>
      <c r="G1407"/>
      <c r="H1407"/>
      <c r="I1407"/>
      <c r="J1407"/>
      <c r="K1407"/>
      <c r="L1407"/>
      <c r="M1407"/>
      <c r="N1407"/>
      <c r="O1407"/>
      <c r="P1407"/>
      <c r="Q1407"/>
      <c r="R1407"/>
      <c r="S1407"/>
    </row>
    <row r="1408" spans="1:19" x14ac:dyDescent="0.25">
      <c r="A1408"/>
      <c r="B1408"/>
      <c r="C1408"/>
      <c r="D1408"/>
      <c r="E1408"/>
      <c r="F1408"/>
      <c r="G1408"/>
      <c r="H1408"/>
      <c r="I1408"/>
      <c r="J1408"/>
      <c r="K1408"/>
      <c r="L1408"/>
      <c r="M1408"/>
      <c r="N1408"/>
      <c r="O1408"/>
      <c r="P1408"/>
      <c r="Q1408"/>
      <c r="R1408"/>
      <c r="S1408"/>
    </row>
    <row r="1409" spans="1:19" x14ac:dyDescent="0.25">
      <c r="A1409"/>
      <c r="B1409"/>
      <c r="C1409"/>
      <c r="D1409"/>
      <c r="E1409"/>
      <c r="F1409"/>
      <c r="G1409"/>
      <c r="H1409"/>
      <c r="I1409"/>
      <c r="J1409"/>
      <c r="K1409"/>
      <c r="L1409"/>
      <c r="M1409"/>
      <c r="N1409"/>
      <c r="O1409"/>
      <c r="P1409"/>
      <c r="Q1409"/>
      <c r="R1409"/>
      <c r="S1409"/>
    </row>
    <row r="1410" spans="1:19" x14ac:dyDescent="0.25">
      <c r="A1410"/>
      <c r="B1410"/>
      <c r="C1410"/>
      <c r="D1410"/>
      <c r="E1410"/>
      <c r="F1410"/>
      <c r="G1410"/>
      <c r="H1410"/>
      <c r="I1410"/>
      <c r="J1410"/>
      <c r="K1410"/>
      <c r="L1410"/>
      <c r="M1410"/>
      <c r="N1410"/>
      <c r="O1410"/>
      <c r="P1410"/>
      <c r="Q1410"/>
      <c r="R1410"/>
      <c r="S1410"/>
    </row>
    <row r="1411" spans="1:19" x14ac:dyDescent="0.25">
      <c r="A1411"/>
      <c r="B1411"/>
      <c r="C1411"/>
      <c r="D1411"/>
      <c r="E1411"/>
      <c r="F1411"/>
      <c r="G1411"/>
      <c r="H1411"/>
      <c r="I1411"/>
      <c r="J1411"/>
      <c r="K1411"/>
      <c r="L1411"/>
      <c r="M1411"/>
      <c r="N1411"/>
      <c r="O1411"/>
      <c r="P1411"/>
      <c r="Q1411"/>
      <c r="R1411"/>
      <c r="S1411"/>
    </row>
    <row r="1412" spans="1:19" x14ac:dyDescent="0.25">
      <c r="A1412"/>
      <c r="B1412"/>
      <c r="C1412"/>
      <c r="D1412"/>
      <c r="E1412"/>
      <c r="F1412"/>
      <c r="G1412"/>
      <c r="H1412"/>
      <c r="I1412"/>
      <c r="J1412"/>
      <c r="K1412"/>
      <c r="L1412"/>
      <c r="M1412"/>
      <c r="N1412"/>
      <c r="O1412"/>
      <c r="P1412"/>
      <c r="Q1412"/>
      <c r="R1412"/>
      <c r="S1412"/>
    </row>
    <row r="1413" spans="1:19" x14ac:dyDescent="0.25">
      <c r="A1413"/>
      <c r="B1413"/>
      <c r="C1413"/>
      <c r="D1413"/>
      <c r="E1413"/>
      <c r="F1413"/>
      <c r="G1413"/>
      <c r="H1413"/>
      <c r="I1413"/>
      <c r="J1413"/>
      <c r="K1413"/>
      <c r="L1413"/>
      <c r="M1413"/>
      <c r="N1413"/>
      <c r="O1413"/>
      <c r="P1413"/>
      <c r="Q1413"/>
      <c r="R1413"/>
      <c r="S1413"/>
    </row>
    <row r="1414" spans="1:19" x14ac:dyDescent="0.25">
      <c r="A1414"/>
      <c r="B1414"/>
      <c r="C1414"/>
      <c r="D1414"/>
      <c r="E1414"/>
      <c r="F1414"/>
      <c r="G1414"/>
      <c r="H1414"/>
      <c r="I1414"/>
      <c r="J1414"/>
      <c r="K1414"/>
      <c r="L1414"/>
      <c r="M1414"/>
      <c r="N1414"/>
      <c r="O1414"/>
      <c r="P1414"/>
      <c r="Q1414"/>
      <c r="R1414"/>
      <c r="S1414"/>
    </row>
    <row r="1415" spans="1:19" x14ac:dyDescent="0.25">
      <c r="A1415"/>
      <c r="B1415"/>
      <c r="C1415"/>
      <c r="D1415"/>
      <c r="E1415"/>
      <c r="F1415"/>
      <c r="G1415"/>
      <c r="H1415"/>
      <c r="I1415"/>
      <c r="J1415"/>
      <c r="K1415"/>
      <c r="L1415"/>
      <c r="M1415"/>
      <c r="N1415"/>
      <c r="O1415"/>
      <c r="P1415"/>
      <c r="Q1415"/>
      <c r="R1415"/>
      <c r="S1415"/>
    </row>
    <row r="1416" spans="1:19" x14ac:dyDescent="0.25">
      <c r="A1416"/>
      <c r="B1416"/>
      <c r="C1416"/>
      <c r="D1416"/>
      <c r="E1416"/>
      <c r="F1416"/>
      <c r="G1416"/>
      <c r="H1416"/>
      <c r="I1416"/>
      <c r="J1416"/>
      <c r="K1416"/>
      <c r="L1416"/>
      <c r="M1416"/>
      <c r="N1416"/>
      <c r="O1416"/>
      <c r="P1416"/>
      <c r="Q1416"/>
      <c r="R1416"/>
      <c r="S1416"/>
    </row>
    <row r="1417" spans="1:19" x14ac:dyDescent="0.25">
      <c r="A1417"/>
      <c r="B1417"/>
      <c r="C1417"/>
      <c r="D1417"/>
      <c r="E1417"/>
      <c r="F1417"/>
      <c r="G1417"/>
      <c r="H1417"/>
      <c r="I1417"/>
      <c r="J1417"/>
      <c r="K1417"/>
      <c r="L1417"/>
      <c r="M1417"/>
      <c r="N1417"/>
      <c r="O1417"/>
      <c r="P1417"/>
      <c r="Q1417"/>
      <c r="R1417"/>
      <c r="S1417"/>
    </row>
    <row r="1418" spans="1:19" x14ac:dyDescent="0.25">
      <c r="A1418"/>
      <c r="B1418"/>
      <c r="C1418"/>
      <c r="D1418"/>
      <c r="E1418"/>
      <c r="F1418"/>
      <c r="G1418"/>
      <c r="H1418"/>
      <c r="I1418"/>
      <c r="J1418"/>
      <c r="K1418"/>
      <c r="L1418"/>
      <c r="M1418"/>
      <c r="N1418"/>
      <c r="O1418"/>
      <c r="P1418"/>
      <c r="Q1418"/>
      <c r="R1418"/>
      <c r="S1418"/>
    </row>
    <row r="1419" spans="1:19" x14ac:dyDescent="0.25">
      <c r="A1419"/>
      <c r="B1419"/>
      <c r="C1419"/>
      <c r="D1419"/>
      <c r="E1419"/>
      <c r="F1419"/>
      <c r="G1419"/>
      <c r="H1419"/>
      <c r="I1419"/>
      <c r="J1419"/>
      <c r="K1419"/>
      <c r="L1419"/>
      <c r="M1419"/>
      <c r="N1419"/>
      <c r="O1419"/>
      <c r="P1419"/>
      <c r="Q1419"/>
      <c r="R1419"/>
      <c r="S1419"/>
    </row>
    <row r="1420" spans="1:19" x14ac:dyDescent="0.25">
      <c r="A1420"/>
      <c r="B1420"/>
      <c r="C1420"/>
      <c r="D1420"/>
      <c r="E1420"/>
      <c r="F1420"/>
      <c r="G1420"/>
      <c r="H1420"/>
      <c r="I1420"/>
      <c r="J1420"/>
      <c r="K1420"/>
      <c r="L1420"/>
      <c r="M1420"/>
      <c r="N1420"/>
      <c r="O1420"/>
      <c r="P1420"/>
      <c r="Q1420"/>
      <c r="R1420"/>
      <c r="S1420"/>
    </row>
    <row r="1421" spans="1:19" x14ac:dyDescent="0.25">
      <c r="A1421"/>
      <c r="B1421"/>
      <c r="C1421"/>
      <c r="D1421"/>
      <c r="E1421"/>
      <c r="F1421"/>
      <c r="G1421"/>
      <c r="H1421"/>
      <c r="I1421"/>
      <c r="J1421"/>
      <c r="K1421"/>
      <c r="L1421"/>
      <c r="M1421"/>
      <c r="N1421"/>
      <c r="O1421"/>
      <c r="P1421"/>
      <c r="Q1421"/>
      <c r="R1421"/>
      <c r="S1421"/>
    </row>
    <row r="1422" spans="1:19" x14ac:dyDescent="0.25">
      <c r="A1422"/>
      <c r="B1422"/>
      <c r="C1422"/>
      <c r="D1422"/>
      <c r="E1422"/>
      <c r="F1422"/>
      <c r="G1422"/>
      <c r="H1422"/>
      <c r="I1422"/>
      <c r="J1422"/>
      <c r="K1422"/>
      <c r="L1422"/>
      <c r="M1422"/>
      <c r="N1422"/>
      <c r="O1422"/>
      <c r="P1422"/>
      <c r="Q1422"/>
      <c r="R1422"/>
      <c r="S1422"/>
    </row>
    <row r="1423" spans="1:19" x14ac:dyDescent="0.25">
      <c r="A1423"/>
      <c r="B1423"/>
      <c r="C1423"/>
      <c r="D1423"/>
      <c r="E1423"/>
      <c r="F1423"/>
      <c r="G1423"/>
      <c r="H1423"/>
      <c r="I1423"/>
      <c r="J1423"/>
      <c r="K1423"/>
      <c r="L1423"/>
      <c r="M1423"/>
      <c r="N1423"/>
      <c r="O1423"/>
      <c r="P1423"/>
      <c r="Q1423"/>
      <c r="R1423"/>
      <c r="S1423"/>
    </row>
    <row r="1424" spans="1:19" x14ac:dyDescent="0.25">
      <c r="A1424"/>
      <c r="B1424"/>
      <c r="C1424"/>
      <c r="D1424"/>
      <c r="E1424"/>
      <c r="F1424"/>
      <c r="G1424"/>
      <c r="H1424"/>
      <c r="I1424"/>
      <c r="J1424"/>
      <c r="K1424"/>
      <c r="L1424"/>
      <c r="M1424"/>
      <c r="N1424"/>
      <c r="O1424"/>
      <c r="P1424"/>
      <c r="Q1424"/>
      <c r="R1424"/>
      <c r="S1424"/>
    </row>
    <row r="1425" spans="1:19" x14ac:dyDescent="0.25">
      <c r="A1425"/>
      <c r="B1425"/>
      <c r="C1425"/>
      <c r="D1425"/>
      <c r="E1425"/>
      <c r="F1425"/>
      <c r="G1425"/>
      <c r="H1425"/>
      <c r="I1425"/>
      <c r="J1425"/>
      <c r="K1425"/>
      <c r="L1425"/>
      <c r="M1425"/>
      <c r="N1425"/>
      <c r="O1425"/>
      <c r="P1425"/>
      <c r="Q1425"/>
      <c r="R1425"/>
      <c r="S1425"/>
    </row>
    <row r="1426" spans="1:19" x14ac:dyDescent="0.25">
      <c r="A1426"/>
      <c r="B1426"/>
      <c r="C1426"/>
      <c r="D1426"/>
      <c r="E1426"/>
      <c r="F1426"/>
      <c r="G1426"/>
      <c r="H1426"/>
      <c r="I1426"/>
      <c r="J1426"/>
      <c r="K1426"/>
      <c r="L1426"/>
      <c r="M1426"/>
      <c r="N1426"/>
      <c r="O1426"/>
      <c r="P1426"/>
      <c r="Q1426"/>
      <c r="R1426"/>
      <c r="S1426"/>
    </row>
    <row r="1427" spans="1:19" x14ac:dyDescent="0.25">
      <c r="A1427"/>
      <c r="B1427"/>
      <c r="C1427"/>
      <c r="D1427"/>
      <c r="E1427"/>
      <c r="F1427"/>
      <c r="G1427"/>
      <c r="H1427"/>
      <c r="I1427"/>
      <c r="J1427"/>
      <c r="K1427"/>
      <c r="L1427"/>
      <c r="M1427"/>
      <c r="N1427"/>
      <c r="O1427"/>
      <c r="P1427"/>
      <c r="Q1427"/>
      <c r="R1427"/>
      <c r="S1427"/>
    </row>
    <row r="1428" spans="1:19" x14ac:dyDescent="0.25">
      <c r="A1428"/>
      <c r="B1428"/>
      <c r="C1428"/>
      <c r="D1428"/>
      <c r="E1428"/>
      <c r="F1428"/>
      <c r="G1428"/>
      <c r="H1428"/>
      <c r="I1428"/>
      <c r="J1428"/>
      <c r="K1428"/>
      <c r="L1428"/>
      <c r="M1428"/>
      <c r="N1428"/>
      <c r="O1428"/>
      <c r="P1428"/>
      <c r="Q1428"/>
      <c r="R1428"/>
      <c r="S1428"/>
    </row>
    <row r="1429" spans="1:19" x14ac:dyDescent="0.25">
      <c r="A1429"/>
      <c r="B1429"/>
      <c r="C1429"/>
      <c r="D1429"/>
      <c r="E1429"/>
      <c r="F1429"/>
      <c r="G1429"/>
      <c r="H1429"/>
      <c r="I1429"/>
      <c r="J1429"/>
      <c r="K1429"/>
      <c r="L1429"/>
      <c r="M1429"/>
      <c r="N1429"/>
      <c r="O1429"/>
      <c r="P1429"/>
      <c r="Q1429"/>
      <c r="R1429"/>
      <c r="S1429"/>
    </row>
    <row r="1430" spans="1:19" x14ac:dyDescent="0.25">
      <c r="A1430"/>
      <c r="B1430"/>
      <c r="C1430"/>
      <c r="D1430"/>
      <c r="E1430"/>
      <c r="F1430"/>
      <c r="G1430"/>
      <c r="H1430"/>
      <c r="I1430"/>
      <c r="J1430"/>
      <c r="K1430"/>
      <c r="L1430"/>
      <c r="M1430"/>
      <c r="N1430"/>
      <c r="O1430"/>
      <c r="P1430"/>
      <c r="Q1430"/>
      <c r="R1430"/>
      <c r="S1430"/>
    </row>
    <row r="1431" spans="1:19" x14ac:dyDescent="0.25">
      <c r="A1431"/>
      <c r="B1431"/>
      <c r="C1431"/>
      <c r="D1431"/>
      <c r="E1431"/>
      <c r="F1431"/>
      <c r="G1431"/>
      <c r="H1431"/>
      <c r="I1431"/>
      <c r="J1431"/>
      <c r="K1431"/>
      <c r="L1431"/>
      <c r="M1431"/>
      <c r="N1431"/>
      <c r="O1431"/>
      <c r="P1431"/>
      <c r="Q1431"/>
      <c r="R1431"/>
      <c r="S1431"/>
    </row>
    <row r="1432" spans="1:19" x14ac:dyDescent="0.25">
      <c r="A1432"/>
      <c r="B1432"/>
      <c r="C1432"/>
      <c r="D1432"/>
      <c r="E1432"/>
      <c r="F1432"/>
      <c r="G1432"/>
      <c r="H1432"/>
      <c r="I1432"/>
      <c r="J1432"/>
      <c r="K1432"/>
      <c r="L1432"/>
      <c r="M1432"/>
      <c r="N1432"/>
      <c r="O1432"/>
      <c r="P1432"/>
      <c r="Q1432"/>
      <c r="R1432"/>
      <c r="S1432"/>
    </row>
    <row r="1433" spans="1:19" x14ac:dyDescent="0.25">
      <c r="A1433"/>
      <c r="B1433"/>
      <c r="C1433"/>
      <c r="D1433"/>
      <c r="E1433"/>
      <c r="F1433"/>
      <c r="G1433"/>
      <c r="H1433"/>
      <c r="I1433"/>
      <c r="J1433"/>
      <c r="K1433"/>
      <c r="L1433"/>
      <c r="M1433"/>
      <c r="N1433"/>
      <c r="O1433"/>
      <c r="P1433"/>
      <c r="Q1433"/>
      <c r="R1433"/>
      <c r="S1433"/>
    </row>
    <row r="1434" spans="1:19" x14ac:dyDescent="0.25">
      <c r="A1434"/>
      <c r="B1434"/>
      <c r="C1434"/>
      <c r="D1434"/>
      <c r="E1434"/>
      <c r="F1434"/>
      <c r="G1434"/>
      <c r="H1434"/>
      <c r="I1434"/>
      <c r="J1434"/>
      <c r="K1434"/>
      <c r="L1434"/>
      <c r="M1434"/>
      <c r="N1434"/>
      <c r="O1434"/>
      <c r="P1434"/>
      <c r="Q1434"/>
      <c r="R1434"/>
      <c r="S1434"/>
    </row>
    <row r="1435" spans="1:19" x14ac:dyDescent="0.25">
      <c r="A1435"/>
      <c r="B1435"/>
      <c r="C1435"/>
      <c r="D1435"/>
      <c r="E1435"/>
      <c r="F1435"/>
      <c r="G1435"/>
      <c r="H1435"/>
      <c r="I1435"/>
      <c r="J1435"/>
      <c r="K1435"/>
      <c r="L1435"/>
      <c r="M1435"/>
      <c r="N1435"/>
      <c r="O1435"/>
      <c r="P1435"/>
      <c r="Q1435"/>
      <c r="R1435"/>
      <c r="S1435"/>
    </row>
    <row r="1436" spans="1:19" x14ac:dyDescent="0.25">
      <c r="A1436"/>
      <c r="B1436"/>
      <c r="C1436"/>
      <c r="D1436"/>
      <c r="E1436"/>
      <c r="F1436"/>
      <c r="G1436"/>
      <c r="H1436"/>
      <c r="I1436"/>
      <c r="J1436"/>
      <c r="K1436"/>
      <c r="L1436"/>
      <c r="M1436"/>
      <c r="N1436"/>
      <c r="O1436"/>
      <c r="P1436"/>
      <c r="Q1436"/>
      <c r="R1436"/>
      <c r="S1436"/>
    </row>
    <row r="1437" spans="1:19" x14ac:dyDescent="0.25">
      <c r="A1437"/>
      <c r="B1437"/>
      <c r="C1437"/>
      <c r="D1437"/>
      <c r="E1437"/>
      <c r="F1437"/>
      <c r="G1437"/>
      <c r="H1437"/>
      <c r="I1437"/>
      <c r="J1437"/>
      <c r="K1437"/>
      <c r="L1437"/>
      <c r="M1437"/>
      <c r="N1437"/>
      <c r="O1437"/>
      <c r="P1437"/>
      <c r="Q1437"/>
      <c r="R1437"/>
      <c r="S1437"/>
    </row>
    <row r="1438" spans="1:19" x14ac:dyDescent="0.25">
      <c r="A1438"/>
      <c r="B1438"/>
      <c r="C1438"/>
      <c r="D1438"/>
      <c r="E1438"/>
      <c r="F1438"/>
      <c r="G1438"/>
      <c r="H1438"/>
      <c r="I1438"/>
      <c r="J1438"/>
      <c r="K1438"/>
      <c r="L1438"/>
      <c r="M1438"/>
      <c r="N1438"/>
      <c r="O1438"/>
      <c r="P1438"/>
      <c r="Q1438"/>
      <c r="R1438"/>
      <c r="S1438"/>
    </row>
    <row r="1439" spans="1:19" x14ac:dyDescent="0.25">
      <c r="A1439"/>
      <c r="B1439"/>
      <c r="C1439"/>
      <c r="D1439"/>
      <c r="E1439"/>
      <c r="F1439"/>
      <c r="G1439"/>
      <c r="H1439"/>
      <c r="I1439"/>
      <c r="J1439"/>
      <c r="K1439"/>
      <c r="L1439"/>
      <c r="M1439"/>
      <c r="N1439"/>
      <c r="O1439"/>
      <c r="P1439"/>
      <c r="Q1439"/>
      <c r="R1439"/>
      <c r="S1439"/>
    </row>
    <row r="1440" spans="1:19" x14ac:dyDescent="0.25">
      <c r="A1440"/>
      <c r="B1440"/>
      <c r="C1440"/>
      <c r="D1440"/>
      <c r="E1440"/>
      <c r="F1440"/>
      <c r="G1440"/>
      <c r="H1440"/>
      <c r="I1440"/>
      <c r="J1440"/>
      <c r="K1440"/>
      <c r="L1440"/>
      <c r="M1440"/>
      <c r="N1440"/>
      <c r="O1440"/>
      <c r="P1440"/>
      <c r="Q1440"/>
      <c r="R1440"/>
      <c r="S1440"/>
    </row>
    <row r="1441" spans="1:19" x14ac:dyDescent="0.25">
      <c r="A1441"/>
      <c r="B1441"/>
      <c r="C1441"/>
      <c r="D1441"/>
      <c r="E1441"/>
      <c r="F1441"/>
      <c r="G1441"/>
      <c r="H1441"/>
      <c r="I1441"/>
      <c r="J1441"/>
      <c r="K1441"/>
      <c r="L1441"/>
      <c r="M1441"/>
      <c r="N1441"/>
      <c r="O1441"/>
      <c r="P1441"/>
      <c r="Q1441"/>
      <c r="R1441"/>
      <c r="S1441"/>
    </row>
    <row r="1442" spans="1:19" x14ac:dyDescent="0.25">
      <c r="A1442"/>
      <c r="B1442"/>
      <c r="C1442"/>
      <c r="D1442"/>
      <c r="E1442"/>
      <c r="F1442"/>
      <c r="G1442"/>
      <c r="H1442"/>
      <c r="I1442"/>
      <c r="J1442"/>
      <c r="K1442"/>
      <c r="L1442"/>
      <c r="M1442"/>
      <c r="N1442"/>
      <c r="O1442"/>
      <c r="P1442"/>
      <c r="Q1442"/>
      <c r="R1442"/>
      <c r="S1442"/>
    </row>
    <row r="1443" spans="1:19" x14ac:dyDescent="0.25">
      <c r="A1443"/>
      <c r="B1443"/>
      <c r="C1443"/>
      <c r="D1443"/>
      <c r="E1443"/>
      <c r="F1443"/>
      <c r="G1443"/>
      <c r="H1443"/>
      <c r="I1443"/>
      <c r="J1443"/>
      <c r="K1443"/>
      <c r="L1443"/>
      <c r="M1443"/>
      <c r="N1443"/>
      <c r="O1443"/>
      <c r="P1443"/>
      <c r="Q1443"/>
      <c r="R1443"/>
      <c r="S1443"/>
    </row>
    <row r="1444" spans="1:19" x14ac:dyDescent="0.25">
      <c r="A1444"/>
      <c r="B1444"/>
      <c r="C1444"/>
      <c r="D1444"/>
      <c r="E1444"/>
      <c r="F1444"/>
      <c r="G1444"/>
      <c r="H1444"/>
      <c r="I1444"/>
      <c r="J1444"/>
      <c r="K1444"/>
      <c r="L1444"/>
      <c r="M1444"/>
      <c r="N1444"/>
      <c r="O1444"/>
      <c r="P1444"/>
      <c r="Q1444"/>
      <c r="R1444"/>
      <c r="S1444"/>
    </row>
    <row r="1445" spans="1:19" x14ac:dyDescent="0.25">
      <c r="A1445"/>
      <c r="B1445"/>
      <c r="C1445"/>
      <c r="D1445"/>
      <c r="E1445"/>
      <c r="F1445"/>
      <c r="G1445"/>
      <c r="H1445"/>
      <c r="I1445"/>
      <c r="J1445"/>
      <c r="K1445"/>
      <c r="L1445"/>
      <c r="M1445"/>
      <c r="N1445"/>
      <c r="O1445"/>
      <c r="P1445"/>
      <c r="Q1445"/>
      <c r="R1445"/>
      <c r="S1445"/>
    </row>
    <row r="1446" spans="1:19" x14ac:dyDescent="0.25">
      <c r="A1446"/>
      <c r="B1446"/>
      <c r="C1446"/>
      <c r="D1446"/>
      <c r="E1446"/>
      <c r="F1446"/>
      <c r="G1446"/>
      <c r="H1446"/>
      <c r="I1446"/>
      <c r="J1446"/>
      <c r="K1446"/>
      <c r="L1446"/>
      <c r="M1446"/>
      <c r="N1446"/>
      <c r="O1446"/>
      <c r="P1446"/>
      <c r="Q1446"/>
      <c r="R1446"/>
      <c r="S1446"/>
    </row>
    <row r="1447" spans="1:19" x14ac:dyDescent="0.25">
      <c r="A1447"/>
      <c r="B1447"/>
      <c r="C1447"/>
      <c r="D1447"/>
      <c r="E1447"/>
      <c r="F1447"/>
      <c r="G1447"/>
      <c r="H1447"/>
      <c r="I1447"/>
      <c r="J1447"/>
      <c r="K1447"/>
      <c r="L1447"/>
      <c r="M1447"/>
      <c r="N1447"/>
      <c r="O1447"/>
      <c r="P1447"/>
      <c r="Q1447"/>
      <c r="R1447"/>
      <c r="S1447"/>
    </row>
    <row r="1448" spans="1:19" x14ac:dyDescent="0.25">
      <c r="A1448"/>
      <c r="B1448"/>
      <c r="C1448"/>
      <c r="D1448"/>
      <c r="E1448"/>
      <c r="F1448"/>
      <c r="G1448"/>
      <c r="H1448"/>
      <c r="I1448"/>
      <c r="J1448"/>
      <c r="K1448"/>
      <c r="L1448"/>
      <c r="M1448"/>
      <c r="N1448"/>
      <c r="O1448"/>
      <c r="P1448"/>
      <c r="Q1448"/>
      <c r="R1448"/>
      <c r="S1448"/>
    </row>
    <row r="1449" spans="1:19" x14ac:dyDescent="0.25">
      <c r="A1449"/>
      <c r="B1449"/>
      <c r="C1449"/>
      <c r="D1449"/>
      <c r="E1449"/>
      <c r="F1449"/>
      <c r="G1449"/>
      <c r="H1449"/>
      <c r="I1449"/>
      <c r="J1449"/>
      <c r="K1449"/>
      <c r="L1449"/>
      <c r="M1449"/>
      <c r="N1449"/>
      <c r="O1449"/>
      <c r="P1449"/>
      <c r="Q1449"/>
      <c r="R1449"/>
      <c r="S1449"/>
    </row>
    <row r="1450" spans="1:19" x14ac:dyDescent="0.25">
      <c r="A1450"/>
      <c r="B1450"/>
      <c r="C1450"/>
      <c r="D1450"/>
      <c r="E1450"/>
      <c r="F1450"/>
      <c r="G1450"/>
      <c r="H1450"/>
      <c r="I1450"/>
      <c r="J1450"/>
      <c r="K1450"/>
      <c r="L1450"/>
      <c r="M1450"/>
      <c r="N1450"/>
      <c r="O1450"/>
      <c r="P1450"/>
      <c r="Q1450"/>
      <c r="R1450"/>
      <c r="S1450"/>
    </row>
    <row r="1451" spans="1:19" x14ac:dyDescent="0.25">
      <c r="A1451"/>
      <c r="B1451"/>
      <c r="C1451"/>
      <c r="D1451"/>
      <c r="E1451"/>
      <c r="F1451"/>
      <c r="G1451"/>
      <c r="H1451"/>
      <c r="I1451"/>
      <c r="J1451"/>
      <c r="K1451"/>
      <c r="L1451"/>
      <c r="M1451"/>
      <c r="N1451"/>
      <c r="O1451"/>
      <c r="P1451"/>
      <c r="Q1451"/>
      <c r="R1451"/>
      <c r="S1451"/>
    </row>
    <row r="1452" spans="1:19" x14ac:dyDescent="0.25">
      <c r="A1452"/>
      <c r="B1452"/>
      <c r="C1452"/>
      <c r="D1452"/>
      <c r="E1452"/>
      <c r="F1452"/>
      <c r="G1452"/>
      <c r="H1452"/>
      <c r="I1452"/>
      <c r="J1452"/>
      <c r="K1452"/>
      <c r="L1452"/>
      <c r="M1452"/>
      <c r="N1452"/>
      <c r="O1452"/>
      <c r="P1452"/>
      <c r="Q1452"/>
      <c r="R1452"/>
      <c r="S1452"/>
    </row>
    <row r="1453" spans="1:19" x14ac:dyDescent="0.25">
      <c r="A1453"/>
      <c r="B1453"/>
      <c r="C1453"/>
      <c r="D1453"/>
      <c r="E1453"/>
      <c r="F1453"/>
      <c r="G1453"/>
      <c r="H1453"/>
      <c r="I1453"/>
      <c r="J1453"/>
      <c r="K1453"/>
      <c r="L1453"/>
      <c r="M1453"/>
      <c r="N1453"/>
      <c r="O1453"/>
      <c r="P1453"/>
      <c r="Q1453"/>
      <c r="R1453"/>
      <c r="S1453"/>
    </row>
    <row r="1454" spans="1:19" x14ac:dyDescent="0.25">
      <c r="A1454"/>
      <c r="B1454"/>
      <c r="C1454"/>
      <c r="D1454"/>
      <c r="E1454"/>
      <c r="F1454"/>
      <c r="G1454"/>
      <c r="H1454"/>
      <c r="I1454"/>
      <c r="J1454"/>
      <c r="K1454"/>
      <c r="L1454"/>
      <c r="M1454"/>
      <c r="N1454"/>
      <c r="O1454"/>
      <c r="P1454"/>
      <c r="Q1454"/>
      <c r="R1454"/>
      <c r="S1454"/>
    </row>
    <row r="1455" spans="1:19" x14ac:dyDescent="0.25">
      <c r="A1455"/>
      <c r="B1455"/>
      <c r="C1455"/>
      <c r="D1455"/>
      <c r="E1455"/>
      <c r="F1455"/>
      <c r="G1455"/>
      <c r="H1455"/>
      <c r="I1455"/>
      <c r="J1455"/>
      <c r="K1455"/>
      <c r="L1455"/>
      <c r="M1455"/>
      <c r="N1455"/>
      <c r="O1455"/>
      <c r="P1455"/>
      <c r="Q1455"/>
      <c r="R1455"/>
      <c r="S1455"/>
    </row>
    <row r="1456" spans="1:19" x14ac:dyDescent="0.25">
      <c r="A1456"/>
      <c r="B1456"/>
      <c r="C1456"/>
      <c r="D1456"/>
      <c r="E1456"/>
      <c r="F1456"/>
      <c r="G1456"/>
      <c r="H1456"/>
      <c r="I1456"/>
      <c r="J1456"/>
      <c r="K1456"/>
      <c r="L1456"/>
      <c r="M1456"/>
      <c r="N1456"/>
      <c r="O1456"/>
      <c r="P1456"/>
      <c r="Q1456"/>
      <c r="R1456"/>
      <c r="S1456"/>
    </row>
    <row r="1457" spans="1:19" x14ac:dyDescent="0.25">
      <c r="A1457"/>
      <c r="B1457"/>
      <c r="C1457"/>
      <c r="D1457"/>
      <c r="E1457"/>
      <c r="F1457"/>
      <c r="G1457"/>
      <c r="H1457"/>
      <c r="I1457"/>
      <c r="J1457"/>
      <c r="K1457"/>
      <c r="L1457"/>
      <c r="M1457"/>
      <c r="N1457"/>
      <c r="O1457"/>
      <c r="P1457"/>
      <c r="Q1457"/>
      <c r="R1457"/>
      <c r="S1457"/>
    </row>
    <row r="1458" spans="1:19" x14ac:dyDescent="0.25">
      <c r="A1458"/>
      <c r="B1458"/>
      <c r="C1458"/>
      <c r="D1458"/>
      <c r="E1458"/>
      <c r="F1458"/>
      <c r="G1458"/>
      <c r="H1458"/>
      <c r="I1458"/>
      <c r="J1458"/>
      <c r="K1458"/>
      <c r="L1458"/>
      <c r="M1458"/>
      <c r="N1458"/>
      <c r="O1458"/>
      <c r="P1458"/>
      <c r="Q1458"/>
      <c r="R1458"/>
      <c r="S1458"/>
    </row>
    <row r="1459" spans="1:19" x14ac:dyDescent="0.25">
      <c r="A1459"/>
      <c r="B1459"/>
      <c r="C1459"/>
      <c r="D1459"/>
      <c r="E1459"/>
      <c r="F1459"/>
      <c r="G1459"/>
      <c r="H1459"/>
      <c r="I1459"/>
      <c r="J1459"/>
      <c r="K1459"/>
      <c r="L1459"/>
      <c r="M1459"/>
      <c r="N1459"/>
      <c r="O1459"/>
      <c r="P1459"/>
      <c r="Q1459"/>
      <c r="R1459"/>
      <c r="S1459"/>
    </row>
    <row r="1460" spans="1:19" x14ac:dyDescent="0.25">
      <c r="A1460"/>
      <c r="B1460"/>
      <c r="C1460"/>
      <c r="D1460"/>
      <c r="E1460"/>
      <c r="F1460"/>
      <c r="G1460"/>
      <c r="H1460"/>
      <c r="I1460"/>
      <c r="J1460"/>
      <c r="K1460"/>
      <c r="L1460"/>
      <c r="M1460"/>
      <c r="N1460"/>
      <c r="O1460"/>
      <c r="P1460"/>
      <c r="Q1460"/>
      <c r="R1460"/>
      <c r="S1460"/>
    </row>
    <row r="1461" spans="1:19" x14ac:dyDescent="0.25">
      <c r="A1461"/>
      <c r="B1461"/>
      <c r="C1461"/>
      <c r="D1461"/>
      <c r="E1461"/>
      <c r="F1461"/>
      <c r="G1461"/>
      <c r="H1461"/>
      <c r="I1461"/>
      <c r="J1461"/>
      <c r="K1461"/>
      <c r="L1461"/>
      <c r="M1461"/>
      <c r="N1461"/>
      <c r="O1461"/>
      <c r="P1461"/>
      <c r="Q1461"/>
      <c r="R1461"/>
      <c r="S1461"/>
    </row>
    <row r="1462" spans="1:19" x14ac:dyDescent="0.25">
      <c r="A1462"/>
      <c r="B1462"/>
      <c r="C1462"/>
      <c r="D1462"/>
      <c r="E1462"/>
      <c r="F1462"/>
      <c r="G1462"/>
      <c r="H1462"/>
      <c r="I1462"/>
      <c r="J1462"/>
      <c r="K1462"/>
      <c r="L1462"/>
      <c r="M1462"/>
      <c r="N1462"/>
      <c r="O1462"/>
      <c r="P1462"/>
      <c r="Q1462"/>
      <c r="R1462"/>
      <c r="S1462"/>
    </row>
    <row r="1463" spans="1:19" x14ac:dyDescent="0.25">
      <c r="A1463"/>
      <c r="B1463"/>
      <c r="C1463"/>
      <c r="D1463"/>
      <c r="E1463"/>
      <c r="F1463"/>
      <c r="G1463"/>
      <c r="H1463"/>
      <c r="I1463"/>
      <c r="J1463"/>
      <c r="K1463"/>
      <c r="L1463"/>
      <c r="M1463"/>
      <c r="N1463"/>
      <c r="O1463"/>
      <c r="P1463"/>
      <c r="Q1463"/>
      <c r="R1463"/>
      <c r="S1463"/>
    </row>
    <row r="1464" spans="1:19" x14ac:dyDescent="0.25">
      <c r="A1464"/>
      <c r="B1464"/>
      <c r="C1464"/>
      <c r="D1464"/>
      <c r="E1464"/>
      <c r="F1464"/>
      <c r="G1464"/>
      <c r="H1464"/>
      <c r="I1464"/>
      <c r="J1464"/>
      <c r="K1464"/>
      <c r="L1464"/>
      <c r="M1464"/>
      <c r="N1464"/>
      <c r="O1464"/>
      <c r="P1464"/>
      <c r="Q1464"/>
      <c r="R1464"/>
      <c r="S1464"/>
    </row>
    <row r="1465" spans="1:19" x14ac:dyDescent="0.25">
      <c r="A1465"/>
      <c r="B1465"/>
      <c r="C1465"/>
      <c r="D1465"/>
      <c r="E1465"/>
      <c r="F1465"/>
      <c r="G1465"/>
      <c r="H1465"/>
      <c r="I1465"/>
      <c r="J1465"/>
      <c r="K1465"/>
      <c r="L1465"/>
      <c r="M1465"/>
      <c r="N1465"/>
      <c r="O1465"/>
      <c r="P1465"/>
      <c r="Q1465"/>
      <c r="R1465"/>
      <c r="S1465"/>
    </row>
    <row r="1466" spans="1:19" x14ac:dyDescent="0.25">
      <c r="A1466"/>
      <c r="B1466"/>
      <c r="C1466"/>
      <c r="D1466"/>
      <c r="E1466"/>
      <c r="F1466"/>
      <c r="G1466"/>
      <c r="H1466"/>
      <c r="I1466"/>
      <c r="J1466"/>
      <c r="K1466"/>
      <c r="L1466"/>
      <c r="M1466"/>
      <c r="N1466"/>
      <c r="O1466"/>
      <c r="P1466"/>
      <c r="Q1466"/>
      <c r="R1466"/>
      <c r="S1466"/>
    </row>
    <row r="1467" spans="1:19" x14ac:dyDescent="0.25">
      <c r="A1467"/>
      <c r="B1467"/>
      <c r="C1467"/>
      <c r="D1467"/>
      <c r="E1467"/>
      <c r="F1467"/>
      <c r="G1467"/>
      <c r="H1467"/>
      <c r="I1467"/>
      <c r="J1467"/>
      <c r="K1467"/>
      <c r="L1467"/>
      <c r="M1467"/>
      <c r="N1467"/>
      <c r="O1467"/>
      <c r="P1467"/>
      <c r="Q1467"/>
      <c r="R1467"/>
      <c r="S1467"/>
    </row>
    <row r="1468" spans="1:19" x14ac:dyDescent="0.25">
      <c r="A1468"/>
      <c r="B1468"/>
      <c r="C1468"/>
      <c r="D1468"/>
      <c r="E1468"/>
      <c r="F1468"/>
      <c r="G1468"/>
      <c r="H1468"/>
      <c r="I1468"/>
      <c r="J1468"/>
      <c r="K1468"/>
      <c r="L1468"/>
      <c r="M1468"/>
      <c r="N1468"/>
      <c r="O1468"/>
      <c r="P1468"/>
      <c r="Q1468"/>
      <c r="R1468"/>
      <c r="S1468"/>
    </row>
    <row r="1469" spans="1:19" x14ac:dyDescent="0.25">
      <c r="A1469"/>
      <c r="B1469"/>
      <c r="C1469"/>
      <c r="D1469"/>
      <c r="E1469"/>
      <c r="F1469"/>
      <c r="G1469"/>
      <c r="H1469"/>
      <c r="I1469"/>
      <c r="J1469"/>
      <c r="K1469"/>
      <c r="L1469"/>
      <c r="M1469"/>
      <c r="N1469"/>
      <c r="O1469"/>
      <c r="P1469"/>
      <c r="Q1469"/>
      <c r="R1469"/>
      <c r="S1469"/>
    </row>
    <row r="1470" spans="1:19" x14ac:dyDescent="0.25">
      <c r="A1470"/>
      <c r="B1470"/>
      <c r="C1470"/>
      <c r="D1470"/>
      <c r="E1470"/>
      <c r="F1470"/>
      <c r="G1470"/>
      <c r="H1470"/>
      <c r="I1470"/>
      <c r="J1470"/>
      <c r="K1470"/>
      <c r="L1470"/>
      <c r="M1470"/>
      <c r="N1470"/>
      <c r="O1470"/>
      <c r="P1470"/>
      <c r="Q1470"/>
      <c r="R1470"/>
      <c r="S1470"/>
    </row>
    <row r="1471" spans="1:19" x14ac:dyDescent="0.25">
      <c r="A1471"/>
      <c r="B1471"/>
      <c r="C1471"/>
      <c r="D1471"/>
      <c r="E1471"/>
      <c r="F1471"/>
      <c r="G1471"/>
      <c r="H1471"/>
      <c r="I1471"/>
      <c r="J1471"/>
      <c r="K1471"/>
      <c r="L1471"/>
      <c r="M1471"/>
      <c r="N1471"/>
      <c r="O1471"/>
      <c r="P1471"/>
      <c r="Q1471"/>
      <c r="R1471"/>
      <c r="S1471"/>
    </row>
    <row r="1472" spans="1:19" x14ac:dyDescent="0.25">
      <c r="A1472"/>
      <c r="B1472"/>
      <c r="C1472"/>
      <c r="D1472"/>
      <c r="E1472"/>
      <c r="F1472"/>
      <c r="G1472"/>
      <c r="H1472"/>
      <c r="I1472"/>
      <c r="J1472"/>
      <c r="K1472"/>
      <c r="L1472"/>
      <c r="M1472"/>
      <c r="N1472"/>
      <c r="O1472"/>
      <c r="P1472"/>
      <c r="Q1472"/>
      <c r="R1472"/>
      <c r="S1472"/>
    </row>
    <row r="1473" spans="1:19" x14ac:dyDescent="0.25">
      <c r="A1473"/>
      <c r="B1473"/>
      <c r="C1473"/>
      <c r="D1473"/>
      <c r="E1473"/>
      <c r="F1473"/>
      <c r="G1473"/>
      <c r="H1473"/>
      <c r="I1473"/>
      <c r="J1473"/>
      <c r="K1473"/>
      <c r="L1473"/>
      <c r="M1473"/>
      <c r="N1473"/>
      <c r="O1473"/>
      <c r="P1473"/>
      <c r="Q1473"/>
      <c r="R1473"/>
      <c r="S1473"/>
    </row>
    <row r="1474" spans="1:19" x14ac:dyDescent="0.25">
      <c r="A1474"/>
      <c r="B1474"/>
      <c r="C1474"/>
      <c r="D1474"/>
      <c r="E1474"/>
      <c r="F1474"/>
      <c r="G1474"/>
      <c r="H1474"/>
      <c r="I1474"/>
      <c r="J1474"/>
      <c r="K1474"/>
      <c r="L1474"/>
      <c r="M1474"/>
      <c r="N1474"/>
      <c r="O1474"/>
      <c r="P1474"/>
      <c r="Q1474"/>
      <c r="R1474"/>
      <c r="S1474"/>
    </row>
    <row r="1475" spans="1:19" x14ac:dyDescent="0.25">
      <c r="A1475"/>
      <c r="B1475"/>
      <c r="C1475"/>
      <c r="D1475"/>
      <c r="E1475"/>
      <c r="F1475"/>
      <c r="G1475"/>
      <c r="H1475"/>
      <c r="I1475"/>
      <c r="J1475"/>
      <c r="K1475"/>
      <c r="L1475"/>
      <c r="M1475"/>
      <c r="N1475"/>
      <c r="O1475"/>
      <c r="P1475"/>
      <c r="Q1475"/>
      <c r="R1475"/>
      <c r="S1475"/>
    </row>
    <row r="1476" spans="1:19" x14ac:dyDescent="0.25">
      <c r="A1476"/>
      <c r="B1476"/>
      <c r="C1476"/>
      <c r="D1476"/>
      <c r="E1476"/>
      <c r="F1476"/>
      <c r="G1476"/>
      <c r="H1476"/>
      <c r="I1476"/>
      <c r="J1476"/>
      <c r="K1476"/>
      <c r="L1476"/>
      <c r="M1476"/>
      <c r="N1476"/>
      <c r="O1476"/>
      <c r="P1476"/>
      <c r="Q1476"/>
      <c r="R1476"/>
      <c r="S1476"/>
    </row>
    <row r="1477" spans="1:19" x14ac:dyDescent="0.25">
      <c r="A1477"/>
      <c r="B1477"/>
      <c r="C1477"/>
      <c r="D1477"/>
      <c r="E1477"/>
      <c r="F1477"/>
      <c r="G1477"/>
      <c r="H1477"/>
      <c r="I1477"/>
      <c r="J1477"/>
      <c r="K1477"/>
      <c r="L1477"/>
      <c r="M1477"/>
      <c r="N1477"/>
      <c r="O1477"/>
      <c r="P1477"/>
      <c r="Q1477"/>
      <c r="R1477"/>
      <c r="S1477"/>
    </row>
    <row r="1478" spans="1:19" x14ac:dyDescent="0.25">
      <c r="A1478"/>
      <c r="B1478"/>
      <c r="C1478"/>
      <c r="D1478"/>
      <c r="E1478"/>
      <c r="F1478"/>
      <c r="G1478"/>
      <c r="H1478"/>
      <c r="I1478"/>
      <c r="J1478"/>
      <c r="K1478"/>
      <c r="L1478"/>
      <c r="M1478"/>
      <c r="N1478"/>
      <c r="O1478"/>
      <c r="P1478"/>
      <c r="Q1478"/>
      <c r="R1478"/>
      <c r="S1478"/>
    </row>
    <row r="1479" spans="1:19" x14ac:dyDescent="0.25">
      <c r="A1479"/>
      <c r="B1479"/>
      <c r="C1479"/>
      <c r="D1479"/>
      <c r="E1479"/>
      <c r="F1479"/>
      <c r="G1479"/>
      <c r="H1479"/>
      <c r="I1479"/>
      <c r="J1479"/>
      <c r="K1479"/>
      <c r="L1479"/>
      <c r="M1479"/>
      <c r="N1479"/>
      <c r="O1479"/>
      <c r="P1479"/>
      <c r="Q1479"/>
      <c r="R1479"/>
      <c r="S1479"/>
    </row>
    <row r="1480" spans="1:19" x14ac:dyDescent="0.25">
      <c r="A1480"/>
      <c r="B1480"/>
      <c r="C1480"/>
      <c r="D1480"/>
      <c r="E1480"/>
      <c r="F1480"/>
      <c r="G1480"/>
      <c r="H1480"/>
      <c r="I1480"/>
      <c r="J1480"/>
      <c r="K1480"/>
      <c r="L1480"/>
      <c r="M1480"/>
      <c r="N1480"/>
      <c r="O1480"/>
      <c r="P1480"/>
      <c r="Q1480"/>
      <c r="R1480"/>
      <c r="S1480"/>
    </row>
    <row r="1481" spans="1:19" x14ac:dyDescent="0.25">
      <c r="A1481"/>
      <c r="B1481"/>
      <c r="C1481"/>
      <c r="D1481"/>
      <c r="E1481"/>
      <c r="F1481"/>
      <c r="G1481"/>
      <c r="H1481"/>
      <c r="I1481"/>
      <c r="J1481"/>
      <c r="K1481"/>
      <c r="L1481"/>
      <c r="M1481"/>
      <c r="N1481"/>
      <c r="O1481"/>
      <c r="P1481"/>
      <c r="Q1481"/>
      <c r="R1481"/>
      <c r="S1481"/>
    </row>
    <row r="1482" spans="1:19" x14ac:dyDescent="0.25">
      <c r="A1482"/>
      <c r="B1482"/>
      <c r="C1482"/>
      <c r="D1482"/>
      <c r="E1482"/>
      <c r="F1482"/>
      <c r="G1482"/>
      <c r="H1482"/>
      <c r="I1482"/>
      <c r="J1482"/>
      <c r="K1482"/>
      <c r="L1482"/>
      <c r="M1482"/>
      <c r="N1482"/>
      <c r="O1482"/>
      <c r="P1482"/>
      <c r="Q1482"/>
      <c r="R1482"/>
      <c r="S1482"/>
    </row>
    <row r="1483" spans="1:19" x14ac:dyDescent="0.25">
      <c r="A1483"/>
      <c r="B1483"/>
      <c r="C1483"/>
      <c r="D1483"/>
      <c r="E1483"/>
      <c r="F1483"/>
      <c r="G1483"/>
      <c r="H1483"/>
      <c r="I1483"/>
      <c r="J1483"/>
      <c r="K1483"/>
      <c r="L1483"/>
      <c r="M1483"/>
      <c r="N1483"/>
      <c r="O1483"/>
      <c r="P1483"/>
      <c r="Q1483"/>
      <c r="R1483"/>
      <c r="S1483"/>
    </row>
    <row r="1484" spans="1:19" x14ac:dyDescent="0.25">
      <c r="A1484"/>
      <c r="B1484"/>
      <c r="C1484"/>
      <c r="D1484"/>
      <c r="E1484"/>
      <c r="F1484"/>
      <c r="G1484"/>
      <c r="H1484"/>
      <c r="I1484"/>
      <c r="J1484"/>
      <c r="K1484"/>
      <c r="L1484"/>
      <c r="M1484"/>
      <c r="N1484"/>
      <c r="O1484"/>
      <c r="P1484"/>
      <c r="Q1484"/>
      <c r="R1484"/>
      <c r="S1484"/>
    </row>
    <row r="1485" spans="1:19" x14ac:dyDescent="0.25">
      <c r="A1485"/>
      <c r="B1485"/>
      <c r="C1485"/>
      <c r="D1485"/>
      <c r="E1485"/>
      <c r="F1485"/>
      <c r="G1485"/>
      <c r="H1485"/>
      <c r="I1485"/>
      <c r="J1485"/>
      <c r="K1485"/>
      <c r="L1485"/>
      <c r="M1485"/>
      <c r="N1485"/>
      <c r="O1485"/>
      <c r="P1485"/>
      <c r="Q1485"/>
      <c r="R1485"/>
      <c r="S1485"/>
    </row>
    <row r="1486" spans="1:19" x14ac:dyDescent="0.25">
      <c r="A1486"/>
      <c r="B1486"/>
      <c r="C1486"/>
      <c r="D1486"/>
      <c r="E1486"/>
      <c r="F1486"/>
      <c r="G1486"/>
      <c r="H1486"/>
      <c r="I1486"/>
      <c r="J1486"/>
      <c r="K1486"/>
      <c r="L1486"/>
      <c r="M1486"/>
      <c r="N1486"/>
      <c r="O1486"/>
      <c r="P1486"/>
      <c r="Q1486"/>
      <c r="R1486"/>
      <c r="S1486"/>
    </row>
    <row r="1487" spans="1:19" x14ac:dyDescent="0.25">
      <c r="A1487"/>
      <c r="B1487"/>
      <c r="C1487"/>
      <c r="D1487"/>
      <c r="E1487"/>
      <c r="F1487"/>
      <c r="G1487"/>
      <c r="H1487"/>
      <c r="I1487"/>
      <c r="J1487"/>
      <c r="K1487"/>
      <c r="L1487"/>
      <c r="M1487"/>
      <c r="N1487"/>
      <c r="O1487"/>
      <c r="P1487"/>
      <c r="Q1487"/>
      <c r="R1487"/>
      <c r="S1487"/>
    </row>
    <row r="1488" spans="1:19" x14ac:dyDescent="0.25">
      <c r="A1488"/>
      <c r="B1488"/>
      <c r="C1488"/>
      <c r="D1488"/>
      <c r="E1488"/>
      <c r="F1488"/>
      <c r="G1488"/>
      <c r="H1488"/>
      <c r="I1488"/>
      <c r="J1488"/>
      <c r="K1488"/>
      <c r="L1488"/>
      <c r="M1488"/>
      <c r="N1488"/>
      <c r="O1488"/>
      <c r="P1488"/>
      <c r="Q1488"/>
      <c r="R1488"/>
      <c r="S1488"/>
    </row>
    <row r="1489" spans="1:19" x14ac:dyDescent="0.25">
      <c r="A1489"/>
      <c r="B1489"/>
      <c r="C1489"/>
      <c r="D1489"/>
      <c r="E1489"/>
      <c r="F1489"/>
      <c r="G1489"/>
      <c r="H1489"/>
      <c r="I1489"/>
      <c r="J1489"/>
      <c r="K1489"/>
      <c r="L1489"/>
      <c r="M1489"/>
      <c r="N1489"/>
      <c r="O1489"/>
      <c r="P1489"/>
      <c r="Q1489"/>
      <c r="R1489"/>
      <c r="S1489"/>
    </row>
    <row r="1490" spans="1:19" x14ac:dyDescent="0.25">
      <c r="A1490"/>
      <c r="B1490"/>
      <c r="C1490"/>
      <c r="D1490"/>
      <c r="E1490"/>
      <c r="F1490"/>
      <c r="G1490"/>
      <c r="H1490"/>
      <c r="I1490"/>
      <c r="J1490"/>
      <c r="K1490"/>
      <c r="L1490"/>
      <c r="M1490"/>
      <c r="N1490"/>
      <c r="O1490"/>
      <c r="P1490"/>
      <c r="Q1490"/>
      <c r="R1490"/>
      <c r="S1490"/>
    </row>
    <row r="1491" spans="1:19" x14ac:dyDescent="0.25">
      <c r="A1491"/>
      <c r="B1491"/>
      <c r="C1491"/>
      <c r="D1491"/>
      <c r="E1491"/>
      <c r="F1491"/>
      <c r="G1491"/>
      <c r="H1491"/>
      <c r="I1491"/>
      <c r="J1491"/>
      <c r="K1491"/>
      <c r="L1491"/>
      <c r="M1491"/>
      <c r="N1491"/>
      <c r="O1491"/>
      <c r="P1491"/>
      <c r="Q1491"/>
      <c r="R1491"/>
      <c r="S1491"/>
    </row>
    <row r="1492" spans="1:19" x14ac:dyDescent="0.25">
      <c r="A1492"/>
      <c r="B1492"/>
      <c r="C1492"/>
      <c r="D1492"/>
      <c r="E1492"/>
      <c r="F1492"/>
      <c r="G1492"/>
      <c r="H1492"/>
      <c r="I1492"/>
      <c r="J1492"/>
      <c r="K1492"/>
      <c r="L1492"/>
      <c r="M1492"/>
      <c r="N1492"/>
      <c r="O1492"/>
      <c r="P1492"/>
      <c r="Q1492"/>
      <c r="R1492"/>
      <c r="S1492"/>
    </row>
    <row r="1493" spans="1:19" x14ac:dyDescent="0.25">
      <c r="A1493"/>
      <c r="B1493"/>
      <c r="C1493"/>
      <c r="D1493"/>
      <c r="E1493"/>
      <c r="F1493"/>
      <c r="G1493"/>
      <c r="H1493"/>
      <c r="I1493"/>
      <c r="J1493"/>
      <c r="K1493"/>
      <c r="L1493"/>
      <c r="M1493"/>
      <c r="N1493"/>
      <c r="O1493"/>
      <c r="P1493"/>
      <c r="Q1493"/>
      <c r="R1493"/>
      <c r="S1493"/>
    </row>
    <row r="1494" spans="1:19" x14ac:dyDescent="0.25">
      <c r="A1494"/>
      <c r="B1494"/>
      <c r="C1494"/>
      <c r="D1494"/>
      <c r="E1494"/>
      <c r="F1494"/>
      <c r="G1494"/>
      <c r="H1494"/>
      <c r="I1494"/>
      <c r="J1494"/>
      <c r="K1494"/>
      <c r="L1494"/>
      <c r="M1494"/>
      <c r="N1494"/>
      <c r="O1494"/>
      <c r="P1494"/>
      <c r="Q1494"/>
      <c r="R1494"/>
      <c r="S1494"/>
    </row>
    <row r="1495" spans="1:19" x14ac:dyDescent="0.25">
      <c r="A1495"/>
      <c r="B1495"/>
      <c r="C1495"/>
      <c r="D1495"/>
      <c r="E1495"/>
      <c r="F1495"/>
      <c r="G1495"/>
      <c r="H1495"/>
      <c r="I1495"/>
      <c r="J1495"/>
      <c r="K1495"/>
      <c r="L1495"/>
      <c r="M1495"/>
      <c r="N1495"/>
      <c r="O1495"/>
      <c r="P1495"/>
      <c r="Q1495"/>
      <c r="R1495"/>
      <c r="S1495"/>
    </row>
    <row r="1496" spans="1:19" x14ac:dyDescent="0.25">
      <c r="A1496"/>
      <c r="B1496"/>
      <c r="C1496"/>
      <c r="D1496"/>
      <c r="E1496"/>
      <c r="F1496"/>
      <c r="G1496"/>
      <c r="H1496"/>
      <c r="I1496"/>
      <c r="J1496"/>
      <c r="K1496"/>
      <c r="L1496"/>
      <c r="M1496"/>
      <c r="N1496"/>
      <c r="O1496"/>
      <c r="P1496"/>
      <c r="Q1496"/>
      <c r="R1496"/>
      <c r="S1496"/>
    </row>
    <row r="1497" spans="1:19" x14ac:dyDescent="0.25">
      <c r="A1497"/>
      <c r="B1497"/>
      <c r="C1497"/>
      <c r="D1497"/>
      <c r="E1497"/>
      <c r="F1497"/>
      <c r="G1497"/>
      <c r="H1497"/>
      <c r="I1497"/>
      <c r="J1497"/>
      <c r="K1497"/>
      <c r="L1497"/>
      <c r="M1497"/>
      <c r="N1497"/>
      <c r="O1497"/>
      <c r="P1497"/>
      <c r="Q1497"/>
      <c r="R1497"/>
      <c r="S1497"/>
    </row>
    <row r="1498" spans="1:19" x14ac:dyDescent="0.25">
      <c r="A1498"/>
      <c r="B1498"/>
      <c r="C1498"/>
      <c r="D1498"/>
      <c r="E1498"/>
      <c r="F1498"/>
      <c r="G1498"/>
      <c r="H1498"/>
      <c r="I1498"/>
      <c r="J1498"/>
      <c r="K1498"/>
      <c r="L1498"/>
      <c r="M1498"/>
      <c r="N1498"/>
      <c r="O1498"/>
      <c r="P1498"/>
      <c r="Q1498"/>
      <c r="R1498"/>
      <c r="S1498"/>
    </row>
    <row r="1499" spans="1:19" x14ac:dyDescent="0.25">
      <c r="A1499"/>
      <c r="B1499"/>
      <c r="C1499"/>
      <c r="D1499"/>
      <c r="E1499"/>
      <c r="F1499"/>
      <c r="G1499"/>
      <c r="H1499"/>
      <c r="I1499"/>
      <c r="J1499"/>
      <c r="K1499"/>
      <c r="L1499"/>
      <c r="M1499"/>
      <c r="N1499"/>
      <c r="O1499"/>
      <c r="P1499"/>
      <c r="Q1499"/>
      <c r="R1499"/>
      <c r="S1499"/>
    </row>
    <row r="1500" spans="1:19" x14ac:dyDescent="0.25">
      <c r="A1500"/>
      <c r="B1500"/>
      <c r="C1500"/>
      <c r="D1500"/>
      <c r="E1500"/>
      <c r="F1500"/>
      <c r="G1500"/>
      <c r="H1500"/>
      <c r="I1500"/>
      <c r="J1500"/>
      <c r="K1500"/>
      <c r="L1500"/>
      <c r="M1500"/>
      <c r="N1500"/>
      <c r="O1500"/>
      <c r="P1500"/>
      <c r="Q1500"/>
      <c r="R1500"/>
      <c r="S1500"/>
    </row>
    <row r="1501" spans="1:19" x14ac:dyDescent="0.25">
      <c r="A1501"/>
      <c r="B1501"/>
      <c r="C1501"/>
      <c r="D1501"/>
      <c r="E1501"/>
      <c r="F1501"/>
      <c r="G1501"/>
      <c r="H1501"/>
      <c r="I1501"/>
      <c r="J1501"/>
      <c r="K1501"/>
      <c r="L1501"/>
      <c r="M1501"/>
      <c r="N1501"/>
      <c r="O1501"/>
      <c r="P1501"/>
      <c r="Q1501"/>
      <c r="R1501"/>
      <c r="S1501"/>
    </row>
    <row r="1502" spans="1:19" x14ac:dyDescent="0.25">
      <c r="A1502"/>
      <c r="B1502"/>
      <c r="C1502"/>
      <c r="D1502"/>
      <c r="E1502"/>
      <c r="F1502"/>
      <c r="G1502"/>
      <c r="H1502"/>
      <c r="I1502"/>
      <c r="J1502"/>
      <c r="K1502"/>
      <c r="L1502"/>
      <c r="M1502"/>
      <c r="N1502"/>
      <c r="O1502"/>
      <c r="P1502"/>
      <c r="Q1502"/>
      <c r="R1502"/>
      <c r="S1502"/>
    </row>
    <row r="1503" spans="1:19" x14ac:dyDescent="0.25">
      <c r="A1503"/>
      <c r="B1503"/>
      <c r="C1503"/>
      <c r="D1503"/>
      <c r="E1503"/>
      <c r="F1503"/>
      <c r="G1503"/>
      <c r="H1503"/>
      <c r="I1503"/>
      <c r="J1503"/>
      <c r="K1503"/>
      <c r="L1503"/>
      <c r="M1503"/>
      <c r="N1503"/>
      <c r="O1503"/>
      <c r="P1503"/>
      <c r="Q1503"/>
      <c r="R1503"/>
      <c r="S1503"/>
    </row>
    <row r="1504" spans="1:19" x14ac:dyDescent="0.25">
      <c r="A1504"/>
      <c r="B1504"/>
      <c r="C1504"/>
      <c r="D1504"/>
      <c r="E1504"/>
      <c r="F1504"/>
      <c r="G1504"/>
      <c r="H1504"/>
      <c r="I1504"/>
      <c r="J1504"/>
      <c r="K1504"/>
      <c r="L1504"/>
      <c r="M1504"/>
      <c r="N1504"/>
      <c r="O1504"/>
      <c r="P1504"/>
      <c r="Q1504"/>
      <c r="R1504"/>
      <c r="S1504"/>
    </row>
    <row r="1505" spans="1:19" x14ac:dyDescent="0.25">
      <c r="A1505"/>
      <c r="B1505"/>
      <c r="C1505"/>
      <c r="D1505"/>
      <c r="E1505"/>
      <c r="F1505"/>
      <c r="G1505"/>
      <c r="H1505"/>
      <c r="I1505"/>
      <c r="J1505"/>
      <c r="K1505"/>
      <c r="L1505"/>
      <c r="M1505"/>
      <c r="N1505"/>
      <c r="O1505"/>
      <c r="P1505"/>
      <c r="Q1505"/>
      <c r="R1505"/>
      <c r="S1505"/>
    </row>
    <row r="1506" spans="1:19" x14ac:dyDescent="0.25">
      <c r="A1506"/>
      <c r="B1506"/>
      <c r="C1506"/>
      <c r="D1506"/>
      <c r="E1506"/>
      <c r="F1506"/>
      <c r="G1506"/>
      <c r="H1506"/>
      <c r="I1506"/>
      <c r="J1506"/>
      <c r="K1506"/>
      <c r="L1506"/>
      <c r="M1506"/>
      <c r="N1506"/>
      <c r="O1506"/>
      <c r="P1506"/>
      <c r="Q1506"/>
      <c r="R1506"/>
      <c r="S1506"/>
    </row>
    <row r="1507" spans="1:19" x14ac:dyDescent="0.25">
      <c r="A1507"/>
      <c r="B1507"/>
      <c r="C1507"/>
      <c r="D1507"/>
      <c r="E1507"/>
      <c r="F1507"/>
      <c r="G1507"/>
      <c r="H1507"/>
      <c r="I1507"/>
      <c r="J1507"/>
      <c r="K1507"/>
      <c r="L1507"/>
      <c r="M1507"/>
      <c r="N1507"/>
      <c r="O1507"/>
      <c r="P1507"/>
      <c r="Q1507"/>
      <c r="R1507"/>
      <c r="S1507"/>
    </row>
    <row r="1508" spans="1:19" x14ac:dyDescent="0.25">
      <c r="A1508"/>
      <c r="B1508"/>
      <c r="C1508"/>
      <c r="D1508"/>
      <c r="E1508"/>
      <c r="F1508"/>
      <c r="G1508"/>
      <c r="H1508"/>
      <c r="I1508"/>
      <c r="J1508"/>
      <c r="K1508"/>
      <c r="L1508"/>
      <c r="M1508"/>
      <c r="N1508"/>
      <c r="O1508"/>
      <c r="P1508"/>
      <c r="Q1508"/>
      <c r="R1508"/>
      <c r="S1508"/>
    </row>
    <row r="1509" spans="1:19" x14ac:dyDescent="0.25">
      <c r="A1509"/>
      <c r="B1509"/>
      <c r="C1509"/>
      <c r="D1509"/>
      <c r="E1509"/>
      <c r="F1509"/>
      <c r="G1509"/>
      <c r="H1509"/>
      <c r="I1509"/>
      <c r="J1509"/>
      <c r="K1509"/>
      <c r="L1509"/>
      <c r="M1509"/>
      <c r="N1509"/>
      <c r="O1509"/>
      <c r="P1509"/>
      <c r="Q1509"/>
      <c r="R1509"/>
      <c r="S1509"/>
    </row>
    <row r="1510" spans="1:19" x14ac:dyDescent="0.25">
      <c r="A1510"/>
      <c r="B1510"/>
      <c r="C1510"/>
      <c r="D1510"/>
      <c r="E1510"/>
      <c r="F1510"/>
      <c r="G1510"/>
      <c r="H1510"/>
      <c r="I1510"/>
      <c r="J1510"/>
      <c r="K1510"/>
      <c r="L1510"/>
      <c r="M1510"/>
      <c r="N1510"/>
      <c r="O1510"/>
      <c r="P1510"/>
      <c r="Q1510"/>
      <c r="R1510"/>
      <c r="S1510"/>
    </row>
    <row r="1511" spans="1:19" x14ac:dyDescent="0.25">
      <c r="A1511"/>
      <c r="B1511"/>
      <c r="C1511"/>
      <c r="D1511"/>
      <c r="E1511"/>
      <c r="F1511"/>
      <c r="G1511"/>
      <c r="H1511"/>
      <c r="I1511"/>
      <c r="J1511"/>
      <c r="K1511"/>
      <c r="L1511"/>
      <c r="M1511"/>
      <c r="N1511"/>
      <c r="O1511"/>
      <c r="P1511"/>
      <c r="Q1511"/>
      <c r="R1511"/>
      <c r="S1511"/>
    </row>
    <row r="1512" spans="1:19" x14ac:dyDescent="0.25">
      <c r="A1512"/>
      <c r="B1512"/>
      <c r="C1512"/>
      <c r="D1512"/>
      <c r="E1512"/>
      <c r="F1512"/>
      <c r="G1512"/>
      <c r="H1512"/>
      <c r="I1512"/>
      <c r="J1512"/>
      <c r="K1512"/>
      <c r="L1512"/>
      <c r="M1512"/>
      <c r="N1512"/>
      <c r="O1512"/>
      <c r="P1512"/>
      <c r="Q1512"/>
      <c r="R1512"/>
      <c r="S1512"/>
    </row>
    <row r="1513" spans="1:19" x14ac:dyDescent="0.25">
      <c r="A1513"/>
      <c r="B1513"/>
      <c r="C1513"/>
      <c r="D1513"/>
      <c r="E1513"/>
      <c r="F1513"/>
      <c r="G1513"/>
      <c r="H1513"/>
      <c r="I1513"/>
      <c r="J1513"/>
      <c r="K1513"/>
      <c r="L1513"/>
      <c r="M1513"/>
      <c r="N1513"/>
      <c r="O1513"/>
      <c r="P1513"/>
      <c r="Q1513"/>
      <c r="R1513"/>
      <c r="S1513"/>
    </row>
    <row r="1514" spans="1:19" x14ac:dyDescent="0.25">
      <c r="A1514"/>
      <c r="B1514"/>
      <c r="C1514"/>
      <c r="D1514"/>
      <c r="E1514"/>
      <c r="F1514"/>
      <c r="G1514"/>
      <c r="H1514"/>
      <c r="I1514"/>
      <c r="J1514"/>
      <c r="K1514"/>
      <c r="L1514"/>
      <c r="M1514"/>
      <c r="N1514"/>
      <c r="O1514"/>
      <c r="P1514"/>
      <c r="Q1514"/>
      <c r="R1514"/>
      <c r="S1514"/>
    </row>
    <row r="1515" spans="1:19" x14ac:dyDescent="0.25">
      <c r="A1515"/>
      <c r="B1515"/>
      <c r="C1515"/>
      <c r="D1515"/>
      <c r="E1515"/>
      <c r="F1515"/>
      <c r="G1515"/>
      <c r="H1515"/>
      <c r="I1515"/>
      <c r="J1515"/>
      <c r="K1515"/>
      <c r="L1515"/>
      <c r="M1515"/>
      <c r="N1515"/>
      <c r="O1515"/>
      <c r="P1515"/>
      <c r="Q1515"/>
      <c r="R1515"/>
      <c r="S1515"/>
    </row>
    <row r="1516" spans="1:19" x14ac:dyDescent="0.25">
      <c r="A1516"/>
      <c r="B1516"/>
      <c r="C1516"/>
      <c r="D1516"/>
      <c r="E1516"/>
      <c r="F1516"/>
      <c r="G1516"/>
      <c r="H1516"/>
      <c r="I1516"/>
      <c r="J1516"/>
      <c r="K1516"/>
      <c r="L1516"/>
      <c r="M1516"/>
      <c r="N1516"/>
      <c r="O1516"/>
      <c r="P1516"/>
      <c r="Q1516"/>
      <c r="R1516"/>
      <c r="S1516"/>
    </row>
    <row r="1517" spans="1:19" x14ac:dyDescent="0.25">
      <c r="A1517"/>
      <c r="B1517"/>
      <c r="C1517"/>
      <c r="D1517"/>
      <c r="E1517"/>
      <c r="F1517"/>
      <c r="G1517"/>
      <c r="H1517"/>
      <c r="I1517"/>
      <c r="J1517"/>
      <c r="K1517"/>
      <c r="L1517"/>
      <c r="M1517"/>
      <c r="N1517"/>
      <c r="O1517"/>
      <c r="P1517"/>
      <c r="Q1517"/>
      <c r="R1517"/>
      <c r="S1517"/>
    </row>
    <row r="1518" spans="1:19" x14ac:dyDescent="0.25">
      <c r="A1518"/>
      <c r="B1518"/>
      <c r="C1518"/>
      <c r="D1518"/>
      <c r="E1518"/>
      <c r="F1518"/>
      <c r="G1518"/>
      <c r="H1518"/>
      <c r="I1518"/>
      <c r="J1518"/>
      <c r="K1518"/>
      <c r="L1518"/>
      <c r="M1518"/>
      <c r="N1518"/>
      <c r="O1518"/>
      <c r="P1518"/>
      <c r="Q1518"/>
      <c r="R1518"/>
      <c r="S1518"/>
    </row>
    <row r="1519" spans="1:19" x14ac:dyDescent="0.25">
      <c r="A1519"/>
      <c r="B1519"/>
      <c r="C1519"/>
      <c r="D1519"/>
      <c r="E1519"/>
      <c r="F1519"/>
      <c r="G1519"/>
      <c r="H1519"/>
      <c r="I1519"/>
      <c r="J1519"/>
      <c r="K1519"/>
      <c r="L1519"/>
      <c r="M1519"/>
      <c r="N1519"/>
      <c r="O1519"/>
      <c r="P1519"/>
      <c r="Q1519"/>
      <c r="R1519"/>
      <c r="S1519"/>
    </row>
    <row r="1520" spans="1:19" x14ac:dyDescent="0.25">
      <c r="A1520"/>
      <c r="B1520"/>
      <c r="C1520"/>
      <c r="D1520"/>
      <c r="E1520"/>
      <c r="F1520"/>
      <c r="G1520"/>
      <c r="H1520"/>
      <c r="I1520"/>
      <c r="J1520"/>
      <c r="K1520"/>
      <c r="L1520"/>
      <c r="M1520"/>
      <c r="N1520"/>
      <c r="O1520"/>
      <c r="P1520"/>
      <c r="Q1520"/>
      <c r="R1520"/>
      <c r="S1520"/>
    </row>
    <row r="1521" spans="1:19" x14ac:dyDescent="0.25">
      <c r="A1521"/>
      <c r="B1521"/>
      <c r="C1521"/>
      <c r="D1521"/>
      <c r="E1521"/>
      <c r="F1521"/>
      <c r="G1521"/>
      <c r="H1521"/>
      <c r="I1521"/>
      <c r="J1521"/>
      <c r="K1521"/>
      <c r="L1521"/>
      <c r="M1521"/>
      <c r="N1521"/>
      <c r="O1521"/>
      <c r="P1521"/>
      <c r="Q1521"/>
      <c r="R1521"/>
      <c r="S1521"/>
    </row>
    <row r="1522" spans="1:19" x14ac:dyDescent="0.25">
      <c r="A1522"/>
      <c r="B1522"/>
      <c r="C1522"/>
      <c r="D1522"/>
      <c r="E1522"/>
      <c r="F1522"/>
      <c r="G1522"/>
      <c r="H1522"/>
      <c r="I1522"/>
      <c r="J1522"/>
      <c r="K1522"/>
      <c r="L1522"/>
      <c r="M1522"/>
      <c r="N1522"/>
      <c r="O1522"/>
      <c r="P1522"/>
      <c r="Q1522"/>
      <c r="R1522"/>
      <c r="S1522"/>
    </row>
    <row r="1523" spans="1:19" x14ac:dyDescent="0.25">
      <c r="A1523"/>
      <c r="B1523"/>
      <c r="C1523"/>
      <c r="D1523"/>
      <c r="E1523"/>
      <c r="F1523"/>
      <c r="G1523"/>
      <c r="H1523"/>
      <c r="I1523"/>
      <c r="J1523"/>
      <c r="K1523"/>
      <c r="L1523"/>
      <c r="M1523"/>
      <c r="N1523"/>
      <c r="O1523"/>
      <c r="P1523"/>
      <c r="Q1523"/>
      <c r="R1523"/>
      <c r="S1523"/>
    </row>
    <row r="1524" spans="1:19" x14ac:dyDescent="0.25">
      <c r="A1524"/>
      <c r="B1524"/>
      <c r="C1524"/>
      <c r="D1524"/>
      <c r="E1524"/>
      <c r="F1524"/>
      <c r="G1524"/>
      <c r="H1524"/>
      <c r="I1524"/>
      <c r="J1524"/>
      <c r="K1524"/>
      <c r="L1524"/>
      <c r="M1524"/>
      <c r="N1524"/>
      <c r="O1524"/>
      <c r="P1524"/>
      <c r="Q1524"/>
      <c r="R1524"/>
      <c r="S1524"/>
    </row>
    <row r="1525" spans="1:19" x14ac:dyDescent="0.25">
      <c r="A1525"/>
      <c r="B1525"/>
      <c r="C1525"/>
      <c r="D1525"/>
      <c r="E1525"/>
      <c r="F1525"/>
      <c r="G1525"/>
      <c r="H1525"/>
      <c r="I1525"/>
      <c r="J1525"/>
      <c r="K1525"/>
      <c r="L1525"/>
      <c r="M1525"/>
      <c r="N1525"/>
      <c r="O1525"/>
      <c r="P1525"/>
      <c r="Q1525"/>
      <c r="R1525"/>
      <c r="S1525"/>
    </row>
    <row r="1526" spans="1:19" x14ac:dyDescent="0.25">
      <c r="A1526"/>
      <c r="B1526"/>
      <c r="C1526"/>
      <c r="D1526"/>
      <c r="E1526"/>
      <c r="F1526"/>
      <c r="G1526"/>
      <c r="H1526"/>
      <c r="I1526"/>
      <c r="J1526"/>
      <c r="K1526"/>
      <c r="L1526"/>
      <c r="M1526"/>
      <c r="N1526"/>
      <c r="O1526"/>
      <c r="P1526"/>
      <c r="Q1526"/>
      <c r="R1526"/>
      <c r="S1526"/>
    </row>
    <row r="1527" spans="1:19" x14ac:dyDescent="0.25">
      <c r="A1527"/>
      <c r="B1527"/>
      <c r="C1527"/>
      <c r="D1527"/>
      <c r="E1527"/>
      <c r="F1527"/>
      <c r="G1527"/>
      <c r="H1527"/>
      <c r="I1527"/>
      <c r="J1527"/>
      <c r="K1527"/>
      <c r="L1527"/>
      <c r="M1527"/>
      <c r="N1527"/>
      <c r="O1527"/>
      <c r="P1527"/>
      <c r="Q1527"/>
      <c r="R1527"/>
      <c r="S1527"/>
    </row>
    <row r="1528" spans="1:19" x14ac:dyDescent="0.25">
      <c r="A1528"/>
      <c r="B1528"/>
      <c r="C1528"/>
      <c r="D1528"/>
      <c r="E1528"/>
      <c r="F1528"/>
      <c r="G1528"/>
      <c r="H1528"/>
      <c r="I1528"/>
      <c r="J1528"/>
      <c r="K1528"/>
      <c r="L1528"/>
      <c r="M1528"/>
      <c r="N1528"/>
      <c r="O1528"/>
      <c r="P1528"/>
      <c r="Q1528"/>
      <c r="R1528"/>
      <c r="S1528"/>
    </row>
    <row r="1529" spans="1:19" x14ac:dyDescent="0.25">
      <c r="A1529"/>
      <c r="B1529"/>
      <c r="C1529"/>
      <c r="D1529"/>
      <c r="E1529"/>
      <c r="F1529"/>
      <c r="G1529"/>
      <c r="H1529"/>
      <c r="I1529"/>
      <c r="J1529"/>
      <c r="K1529"/>
      <c r="L1529"/>
      <c r="M1529"/>
      <c r="N1529"/>
      <c r="O1529"/>
      <c r="P1529"/>
      <c r="Q1529"/>
      <c r="R1529"/>
      <c r="S1529"/>
    </row>
    <row r="1530" spans="1:19" x14ac:dyDescent="0.25">
      <c r="A1530"/>
      <c r="B1530"/>
      <c r="C1530"/>
      <c r="D1530"/>
      <c r="E1530"/>
      <c r="F1530"/>
      <c r="G1530"/>
      <c r="H1530"/>
      <c r="I1530"/>
      <c r="J1530"/>
      <c r="K1530"/>
      <c r="L1530"/>
      <c r="M1530"/>
      <c r="N1530"/>
      <c r="O1530"/>
      <c r="P1530"/>
      <c r="Q1530"/>
      <c r="R1530"/>
      <c r="S1530"/>
    </row>
    <row r="1531" spans="1:19" x14ac:dyDescent="0.25">
      <c r="A1531"/>
      <c r="B1531"/>
      <c r="C1531"/>
      <c r="D1531"/>
      <c r="E1531"/>
      <c r="F1531"/>
      <c r="G1531"/>
      <c r="H1531"/>
      <c r="I1531"/>
      <c r="J1531"/>
      <c r="K1531"/>
      <c r="L1531"/>
      <c r="M1531"/>
      <c r="N1531"/>
      <c r="O1531"/>
      <c r="P1531"/>
      <c r="Q1531"/>
      <c r="R1531"/>
      <c r="S1531"/>
    </row>
    <row r="1532" spans="1:19" x14ac:dyDescent="0.25">
      <c r="A1532"/>
      <c r="B1532"/>
      <c r="C1532"/>
      <c r="D1532"/>
      <c r="E1532"/>
      <c r="F1532"/>
      <c r="G1532"/>
      <c r="H1532"/>
      <c r="I1532"/>
      <c r="J1532"/>
      <c r="K1532"/>
      <c r="L1532"/>
      <c r="M1532"/>
      <c r="N1532"/>
      <c r="O1532"/>
      <c r="P1532"/>
      <c r="Q1532"/>
      <c r="R1532"/>
      <c r="S1532"/>
    </row>
    <row r="1533" spans="1:19" x14ac:dyDescent="0.25">
      <c r="A1533"/>
      <c r="B1533"/>
      <c r="C1533"/>
      <c r="D1533"/>
      <c r="E1533"/>
      <c r="F1533"/>
      <c r="G1533"/>
      <c r="H1533"/>
      <c r="I1533"/>
      <c r="J1533"/>
      <c r="K1533"/>
      <c r="L1533"/>
      <c r="M1533"/>
      <c r="N1533"/>
      <c r="O1533"/>
      <c r="P1533"/>
      <c r="Q1533"/>
      <c r="R1533"/>
      <c r="S1533"/>
    </row>
    <row r="1534" spans="1:19" x14ac:dyDescent="0.25">
      <c r="A1534"/>
      <c r="B1534"/>
      <c r="C1534"/>
      <c r="D1534"/>
      <c r="E1534"/>
      <c r="F1534"/>
      <c r="G1534"/>
      <c r="H1534"/>
      <c r="I1534"/>
      <c r="J1534"/>
      <c r="K1534"/>
      <c r="L1534"/>
      <c r="M1534"/>
      <c r="N1534"/>
      <c r="O1534"/>
      <c r="P1534"/>
      <c r="Q1534"/>
      <c r="R1534"/>
      <c r="S1534"/>
    </row>
    <row r="1535" spans="1:19" x14ac:dyDescent="0.25">
      <c r="A1535"/>
      <c r="B1535"/>
      <c r="C1535"/>
      <c r="D1535"/>
      <c r="E1535"/>
      <c r="F1535"/>
      <c r="G1535"/>
      <c r="H1535"/>
      <c r="I1535"/>
      <c r="J1535"/>
      <c r="K1535"/>
      <c r="L1535"/>
      <c r="M1535"/>
      <c r="N1535"/>
      <c r="O1535"/>
      <c r="P1535"/>
      <c r="Q1535"/>
      <c r="R1535"/>
      <c r="S1535"/>
    </row>
    <row r="1536" spans="1:19" x14ac:dyDescent="0.25">
      <c r="A1536"/>
      <c r="B1536"/>
      <c r="C1536"/>
      <c r="D1536"/>
      <c r="E1536"/>
      <c r="F1536"/>
      <c r="G1536"/>
      <c r="H1536"/>
      <c r="I1536"/>
      <c r="J1536"/>
      <c r="K1536"/>
      <c r="L1536"/>
      <c r="M1536"/>
      <c r="N1536"/>
      <c r="O1536"/>
      <c r="P1536"/>
      <c r="Q1536"/>
      <c r="R1536"/>
      <c r="S1536"/>
    </row>
    <row r="1537" spans="1:19" x14ac:dyDescent="0.25">
      <c r="A1537"/>
      <c r="B1537"/>
      <c r="C1537"/>
      <c r="D1537"/>
      <c r="E1537"/>
      <c r="F1537"/>
      <c r="G1537"/>
      <c r="H1537"/>
      <c r="I1537"/>
      <c r="J1537"/>
      <c r="K1537"/>
      <c r="L1537"/>
      <c r="M1537"/>
      <c r="N1537"/>
      <c r="O1537"/>
      <c r="P1537"/>
      <c r="Q1537"/>
      <c r="R1537"/>
      <c r="S1537"/>
    </row>
    <row r="1538" spans="1:19" x14ac:dyDescent="0.25">
      <c r="A1538"/>
      <c r="B1538"/>
      <c r="C1538"/>
      <c r="D1538"/>
      <c r="E1538"/>
      <c r="F1538"/>
      <c r="G1538"/>
      <c r="H1538"/>
      <c r="I1538"/>
      <c r="J1538"/>
      <c r="K1538"/>
      <c r="L1538"/>
      <c r="M1538"/>
      <c r="N1538"/>
      <c r="O1538"/>
      <c r="P1538"/>
      <c r="Q1538"/>
      <c r="R1538"/>
      <c r="S1538"/>
    </row>
    <row r="1539" spans="1:19" x14ac:dyDescent="0.25">
      <c r="A1539"/>
      <c r="B1539"/>
      <c r="C1539"/>
      <c r="D1539"/>
      <c r="E1539"/>
      <c r="F1539"/>
      <c r="G1539"/>
      <c r="H1539"/>
      <c r="I1539"/>
      <c r="J1539"/>
      <c r="K1539"/>
      <c r="L1539"/>
      <c r="M1539"/>
      <c r="N1539"/>
      <c r="O1539"/>
      <c r="P1539"/>
      <c r="Q1539"/>
      <c r="R1539"/>
      <c r="S1539"/>
    </row>
    <row r="1540" spans="1:19" x14ac:dyDescent="0.25">
      <c r="A1540"/>
      <c r="B1540"/>
      <c r="C1540"/>
      <c r="D1540"/>
      <c r="E1540"/>
      <c r="F1540"/>
      <c r="G1540"/>
      <c r="H1540"/>
      <c r="I1540"/>
      <c r="J1540"/>
      <c r="K1540"/>
      <c r="L1540"/>
      <c r="M1540"/>
      <c r="N1540"/>
      <c r="O1540"/>
      <c r="P1540"/>
      <c r="Q1540"/>
      <c r="R1540"/>
      <c r="S1540"/>
    </row>
    <row r="1541" spans="1:19" x14ac:dyDescent="0.25">
      <c r="A1541"/>
      <c r="B1541"/>
      <c r="C1541"/>
      <c r="D1541"/>
      <c r="E1541"/>
      <c r="F1541"/>
      <c r="G1541"/>
      <c r="H1541"/>
      <c r="I1541"/>
      <c r="J1541"/>
      <c r="K1541"/>
      <c r="L1541"/>
      <c r="M1541"/>
      <c r="N1541"/>
      <c r="O1541"/>
      <c r="P1541"/>
      <c r="Q1541"/>
      <c r="R1541"/>
      <c r="S1541"/>
    </row>
    <row r="1542" spans="1:19" x14ac:dyDescent="0.25">
      <c r="A1542"/>
      <c r="B1542"/>
      <c r="C1542"/>
      <c r="D1542"/>
      <c r="E1542"/>
      <c r="F1542"/>
      <c r="G1542"/>
      <c r="H1542"/>
      <c r="I1542"/>
      <c r="J1542"/>
      <c r="K1542"/>
      <c r="L1542"/>
      <c r="M1542"/>
      <c r="N1542"/>
      <c r="O1542"/>
      <c r="P1542"/>
      <c r="Q1542"/>
      <c r="R1542"/>
      <c r="S1542"/>
    </row>
    <row r="1543" spans="1:19" x14ac:dyDescent="0.25">
      <c r="A1543"/>
      <c r="B1543"/>
      <c r="C1543"/>
      <c r="D1543"/>
      <c r="E1543"/>
      <c r="F1543"/>
      <c r="G1543"/>
      <c r="H1543"/>
      <c r="I1543"/>
      <c r="J1543"/>
      <c r="K1543"/>
      <c r="L1543"/>
      <c r="M1543"/>
      <c r="N1543"/>
      <c r="O1543"/>
      <c r="P1543"/>
      <c r="Q1543"/>
      <c r="R1543"/>
      <c r="S1543"/>
    </row>
    <row r="1544" spans="1:19" x14ac:dyDescent="0.25">
      <c r="A1544"/>
      <c r="B1544"/>
      <c r="C1544"/>
      <c r="D1544"/>
      <c r="E1544"/>
      <c r="F1544"/>
      <c r="G1544"/>
      <c r="H1544"/>
      <c r="I1544"/>
      <c r="J1544"/>
      <c r="K1544"/>
      <c r="L1544"/>
      <c r="M1544"/>
      <c r="N1544"/>
      <c r="O1544"/>
      <c r="P1544"/>
      <c r="Q1544"/>
      <c r="R1544"/>
      <c r="S1544"/>
    </row>
    <row r="1545" spans="1:19" x14ac:dyDescent="0.25">
      <c r="A1545"/>
      <c r="B1545"/>
      <c r="C1545"/>
      <c r="D1545"/>
      <c r="E1545"/>
      <c r="F1545"/>
      <c r="G1545"/>
      <c r="H1545"/>
      <c r="I1545"/>
      <c r="J1545"/>
      <c r="K1545"/>
      <c r="L1545"/>
      <c r="M1545"/>
      <c r="N1545"/>
      <c r="O1545"/>
      <c r="P1545"/>
      <c r="Q1545"/>
      <c r="R1545"/>
      <c r="S1545"/>
    </row>
    <row r="1546" spans="1:19" x14ac:dyDescent="0.25">
      <c r="A1546"/>
      <c r="B1546"/>
      <c r="C1546"/>
      <c r="D1546"/>
      <c r="E1546"/>
      <c r="F1546"/>
      <c r="G1546"/>
      <c r="H1546"/>
      <c r="I1546"/>
      <c r="J1546"/>
      <c r="K1546"/>
      <c r="L1546"/>
      <c r="M1546"/>
      <c r="N1546"/>
      <c r="O1546"/>
      <c r="P1546"/>
      <c r="Q1546"/>
      <c r="R1546"/>
      <c r="S1546"/>
    </row>
    <row r="1547" spans="1:19" x14ac:dyDescent="0.25">
      <c r="A1547"/>
      <c r="B1547"/>
      <c r="C1547"/>
      <c r="D1547"/>
      <c r="E1547"/>
      <c r="F1547"/>
      <c r="G1547"/>
      <c r="H1547"/>
      <c r="I1547"/>
      <c r="J1547"/>
      <c r="K1547"/>
      <c r="L1547"/>
      <c r="M1547"/>
      <c r="N1547"/>
      <c r="O1547"/>
      <c r="P1547"/>
      <c r="Q1547"/>
      <c r="R1547"/>
      <c r="S1547"/>
    </row>
    <row r="1548" spans="1:19" x14ac:dyDescent="0.25">
      <c r="A1548"/>
      <c r="B1548"/>
      <c r="C1548"/>
      <c r="D1548"/>
      <c r="E1548"/>
      <c r="F1548"/>
      <c r="G1548"/>
      <c r="H1548"/>
      <c r="I1548"/>
      <c r="J1548"/>
      <c r="K1548"/>
      <c r="L1548"/>
      <c r="M1548"/>
      <c r="N1548"/>
      <c r="O1548"/>
      <c r="P1548"/>
      <c r="Q1548"/>
      <c r="R1548"/>
      <c r="S1548"/>
    </row>
    <row r="1549" spans="1:19" x14ac:dyDescent="0.25">
      <c r="A1549"/>
      <c r="B1549"/>
      <c r="C1549"/>
      <c r="D1549"/>
      <c r="E1549"/>
      <c r="F1549"/>
      <c r="G1549"/>
      <c r="H1549"/>
      <c r="I1549"/>
      <c r="J1549"/>
      <c r="K1549"/>
      <c r="L1549"/>
      <c r="M1549"/>
      <c r="N1549"/>
      <c r="O1549"/>
      <c r="P1549"/>
      <c r="Q1549"/>
      <c r="R1549"/>
      <c r="S1549"/>
    </row>
    <row r="1550" spans="1:19" x14ac:dyDescent="0.25">
      <c r="A1550"/>
      <c r="B1550"/>
      <c r="C1550"/>
      <c r="D1550"/>
      <c r="E1550"/>
      <c r="F1550"/>
      <c r="G1550"/>
      <c r="H1550"/>
      <c r="I1550"/>
      <c r="J1550"/>
      <c r="K1550"/>
      <c r="L1550"/>
      <c r="M1550"/>
      <c r="N1550"/>
      <c r="O1550"/>
      <c r="P1550"/>
      <c r="Q1550"/>
      <c r="R1550"/>
      <c r="S1550"/>
    </row>
    <row r="1551" spans="1:19" x14ac:dyDescent="0.25">
      <c r="A1551"/>
      <c r="B1551"/>
      <c r="C1551"/>
      <c r="D1551"/>
      <c r="E1551"/>
      <c r="F1551"/>
      <c r="G1551"/>
      <c r="H1551"/>
      <c r="I1551"/>
      <c r="J1551"/>
      <c r="K1551"/>
      <c r="L1551"/>
      <c r="M1551"/>
      <c r="N1551"/>
      <c r="O1551"/>
      <c r="P1551"/>
      <c r="Q1551"/>
      <c r="R1551"/>
      <c r="S1551"/>
    </row>
    <row r="1552" spans="1:19" x14ac:dyDescent="0.25">
      <c r="A1552"/>
      <c r="B1552"/>
      <c r="C1552"/>
      <c r="D1552"/>
      <c r="E1552"/>
      <c r="F1552"/>
      <c r="G1552"/>
      <c r="H1552"/>
      <c r="I1552"/>
      <c r="J1552"/>
      <c r="K1552"/>
      <c r="L1552"/>
      <c r="M1552"/>
      <c r="N1552"/>
      <c r="O1552"/>
      <c r="P1552"/>
      <c r="Q1552"/>
      <c r="R1552"/>
      <c r="S1552"/>
    </row>
    <row r="1553" spans="1:19" x14ac:dyDescent="0.25">
      <c r="A1553"/>
      <c r="B1553"/>
      <c r="C1553"/>
      <c r="D1553"/>
      <c r="E1553"/>
      <c r="F1553"/>
      <c r="G1553"/>
      <c r="H1553"/>
      <c r="I1553"/>
      <c r="J1553"/>
      <c r="K1553"/>
      <c r="L1553"/>
      <c r="M1553"/>
      <c r="N1553"/>
      <c r="O1553"/>
      <c r="P1553"/>
      <c r="Q1553"/>
      <c r="R1553"/>
      <c r="S1553"/>
    </row>
    <row r="1554" spans="1:19" x14ac:dyDescent="0.25">
      <c r="A1554"/>
      <c r="B1554"/>
      <c r="C1554"/>
      <c r="D1554"/>
      <c r="E1554"/>
      <c r="F1554"/>
      <c r="G1554"/>
      <c r="H1554"/>
      <c r="I1554"/>
      <c r="J1554"/>
      <c r="K1554"/>
      <c r="L1554"/>
      <c r="M1554"/>
      <c r="N1554"/>
      <c r="O1554"/>
      <c r="P1554"/>
      <c r="Q1554"/>
      <c r="R1554"/>
      <c r="S1554"/>
    </row>
    <row r="1555" spans="1:19" x14ac:dyDescent="0.25">
      <c r="A1555"/>
      <c r="B1555"/>
      <c r="C1555"/>
      <c r="D1555"/>
      <c r="E1555"/>
      <c r="F1555"/>
      <c r="G1555"/>
      <c r="H1555"/>
      <c r="I1555"/>
      <c r="J1555"/>
      <c r="K1555"/>
      <c r="L1555"/>
      <c r="M1555"/>
      <c r="N1555"/>
      <c r="O1555"/>
      <c r="P1555"/>
      <c r="Q1555"/>
      <c r="R1555"/>
      <c r="S1555"/>
    </row>
    <row r="1556" spans="1:19" x14ac:dyDescent="0.25">
      <c r="A1556"/>
      <c r="B1556"/>
      <c r="C1556"/>
      <c r="D1556"/>
      <c r="E1556"/>
      <c r="F1556"/>
      <c r="G1556"/>
      <c r="H1556"/>
      <c r="I1556"/>
      <c r="J1556"/>
      <c r="K1556"/>
      <c r="L1556"/>
      <c r="M1556"/>
      <c r="N1556"/>
      <c r="O1556"/>
      <c r="P1556"/>
      <c r="Q1556"/>
      <c r="R1556"/>
      <c r="S1556"/>
    </row>
    <row r="1557" spans="1:19" x14ac:dyDescent="0.25">
      <c r="A1557"/>
      <c r="B1557"/>
      <c r="C1557"/>
      <c r="D1557"/>
      <c r="E1557"/>
      <c r="F1557"/>
      <c r="G1557"/>
      <c r="H1557"/>
      <c r="I1557"/>
      <c r="J1557"/>
      <c r="K1557"/>
      <c r="L1557"/>
      <c r="M1557"/>
      <c r="N1557"/>
      <c r="O1557"/>
      <c r="P1557"/>
      <c r="Q1557"/>
      <c r="R1557"/>
      <c r="S1557"/>
    </row>
    <row r="1558" spans="1:19" x14ac:dyDescent="0.25">
      <c r="A1558"/>
      <c r="B1558"/>
      <c r="C1558"/>
      <c r="D1558"/>
      <c r="E1558"/>
      <c r="F1558"/>
      <c r="G1558"/>
      <c r="H1558"/>
      <c r="I1558"/>
      <c r="J1558"/>
      <c r="K1558"/>
      <c r="L1558"/>
      <c r="M1558"/>
      <c r="N1558"/>
      <c r="O1558"/>
      <c r="P1558"/>
      <c r="Q1558"/>
      <c r="R1558"/>
      <c r="S1558"/>
    </row>
    <row r="1559" spans="1:19" x14ac:dyDescent="0.25">
      <c r="A1559"/>
      <c r="B1559"/>
      <c r="C1559"/>
      <c r="D1559"/>
      <c r="E1559"/>
      <c r="F1559"/>
      <c r="G1559"/>
      <c r="H1559"/>
      <c r="I1559"/>
      <c r="J1559"/>
      <c r="K1559"/>
      <c r="L1559"/>
      <c r="M1559"/>
      <c r="N1559"/>
      <c r="O1559"/>
      <c r="P1559"/>
      <c r="Q1559"/>
      <c r="R1559"/>
      <c r="S1559"/>
    </row>
    <row r="1560" spans="1:19" x14ac:dyDescent="0.25">
      <c r="A1560"/>
      <c r="B1560"/>
      <c r="C1560"/>
      <c r="D1560"/>
      <c r="E1560"/>
      <c r="F1560"/>
      <c r="G1560"/>
      <c r="H1560"/>
      <c r="I1560"/>
      <c r="J1560"/>
      <c r="K1560"/>
      <c r="L1560"/>
      <c r="M1560"/>
      <c r="N1560"/>
      <c r="O1560"/>
      <c r="P1560"/>
      <c r="Q1560"/>
      <c r="R1560"/>
      <c r="S1560"/>
    </row>
    <row r="1561" spans="1:19" x14ac:dyDescent="0.25">
      <c r="A1561"/>
      <c r="B1561"/>
      <c r="C1561"/>
      <c r="D1561"/>
      <c r="E1561"/>
      <c r="F1561"/>
      <c r="G1561"/>
      <c r="H1561"/>
      <c r="I1561"/>
      <c r="J1561"/>
      <c r="K1561"/>
      <c r="L1561"/>
      <c r="M1561"/>
      <c r="N1561"/>
      <c r="O1561"/>
      <c r="P1561"/>
      <c r="Q1561"/>
      <c r="R1561"/>
      <c r="S1561"/>
    </row>
    <row r="1562" spans="1:19" x14ac:dyDescent="0.25">
      <c r="A1562"/>
      <c r="B1562"/>
      <c r="C1562"/>
      <c r="D1562"/>
      <c r="E1562"/>
      <c r="F1562"/>
      <c r="G1562"/>
      <c r="H1562"/>
      <c r="I1562"/>
      <c r="J1562"/>
      <c r="K1562"/>
      <c r="L1562"/>
      <c r="M1562"/>
      <c r="N1562"/>
      <c r="O1562"/>
      <c r="P1562"/>
      <c r="Q1562"/>
      <c r="R1562"/>
      <c r="S1562"/>
    </row>
    <row r="1563" spans="1:19" x14ac:dyDescent="0.25">
      <c r="A1563"/>
      <c r="B1563"/>
      <c r="C1563"/>
      <c r="D1563"/>
      <c r="E1563"/>
      <c r="F1563"/>
      <c r="G1563"/>
      <c r="H1563"/>
      <c r="I1563"/>
      <c r="J1563"/>
      <c r="K1563"/>
      <c r="L1563"/>
      <c r="M1563"/>
      <c r="N1563"/>
      <c r="O1563"/>
      <c r="P1563"/>
      <c r="Q1563"/>
      <c r="R1563"/>
      <c r="S1563"/>
    </row>
    <row r="1564" spans="1:19" x14ac:dyDescent="0.25">
      <c r="A1564"/>
      <c r="B1564"/>
      <c r="C1564"/>
      <c r="D1564"/>
      <c r="E1564"/>
      <c r="F1564"/>
      <c r="G1564"/>
      <c r="H1564"/>
      <c r="I1564"/>
      <c r="J1564"/>
      <c r="K1564"/>
      <c r="L1564"/>
      <c r="M1564"/>
      <c r="N1564"/>
      <c r="O1564"/>
      <c r="P1564"/>
      <c r="Q1564"/>
      <c r="R1564"/>
      <c r="S1564"/>
    </row>
    <row r="1565" spans="1:19" x14ac:dyDescent="0.25">
      <c r="A1565"/>
      <c r="B1565"/>
      <c r="C1565"/>
      <c r="D1565"/>
      <c r="E1565"/>
      <c r="F1565"/>
      <c r="G1565"/>
      <c r="H1565"/>
      <c r="I1565"/>
      <c r="J1565"/>
      <c r="K1565"/>
      <c r="L1565"/>
      <c r="M1565"/>
      <c r="N1565"/>
      <c r="O1565"/>
      <c r="P1565"/>
      <c r="Q1565"/>
      <c r="R1565"/>
      <c r="S1565"/>
    </row>
    <row r="1566" spans="1:19" x14ac:dyDescent="0.25">
      <c r="A1566"/>
      <c r="B1566"/>
      <c r="C1566"/>
      <c r="D1566"/>
      <c r="E1566"/>
      <c r="F1566"/>
      <c r="G1566"/>
      <c r="H1566"/>
      <c r="I1566"/>
      <c r="J1566"/>
      <c r="K1566"/>
      <c r="L1566"/>
      <c r="M1566"/>
      <c r="N1566"/>
      <c r="O1566"/>
      <c r="P1566"/>
      <c r="Q1566"/>
      <c r="R1566"/>
      <c r="S1566"/>
    </row>
    <row r="1567" spans="1:19" x14ac:dyDescent="0.25">
      <c r="A1567"/>
      <c r="B1567"/>
      <c r="C1567"/>
      <c r="D1567"/>
      <c r="E1567"/>
      <c r="F1567"/>
      <c r="G1567"/>
      <c r="H1567"/>
      <c r="I1567"/>
      <c r="J1567"/>
      <c r="K1567"/>
      <c r="L1567"/>
      <c r="M1567"/>
      <c r="N1567"/>
      <c r="O1567"/>
      <c r="P1567"/>
      <c r="Q1567"/>
      <c r="R1567"/>
      <c r="S1567"/>
    </row>
    <row r="1568" spans="1:19" x14ac:dyDescent="0.25">
      <c r="A1568"/>
      <c r="B1568"/>
      <c r="C1568"/>
      <c r="D1568"/>
      <c r="E1568"/>
      <c r="F1568"/>
      <c r="G1568"/>
      <c r="H1568"/>
      <c r="I1568"/>
      <c r="J1568"/>
      <c r="K1568"/>
      <c r="L1568"/>
      <c r="M1568"/>
      <c r="N1568"/>
      <c r="O1568"/>
      <c r="P1568"/>
      <c r="Q1568"/>
      <c r="R1568"/>
      <c r="S1568"/>
    </row>
    <row r="1569" spans="1:19" x14ac:dyDescent="0.25">
      <c r="A1569"/>
      <c r="B1569"/>
      <c r="C1569"/>
      <c r="D1569"/>
      <c r="E1569"/>
      <c r="F1569"/>
      <c r="G1569"/>
      <c r="H1569"/>
      <c r="I1569"/>
      <c r="J1569"/>
      <c r="K1569"/>
      <c r="L1569"/>
      <c r="M1569"/>
      <c r="N1569"/>
      <c r="O1569"/>
      <c r="P1569"/>
      <c r="Q1569"/>
      <c r="R1569"/>
      <c r="S1569"/>
    </row>
    <row r="1570" spans="1:19" x14ac:dyDescent="0.25">
      <c r="A1570"/>
      <c r="B1570"/>
      <c r="C1570"/>
      <c r="D1570"/>
      <c r="E1570"/>
      <c r="F1570"/>
      <c r="G1570"/>
      <c r="H1570"/>
      <c r="I1570"/>
      <c r="J1570"/>
      <c r="K1570"/>
      <c r="L1570"/>
      <c r="M1570"/>
      <c r="N1570"/>
      <c r="O1570"/>
      <c r="P1570"/>
      <c r="Q1570"/>
      <c r="R1570"/>
      <c r="S1570"/>
    </row>
    <row r="1571" spans="1:19" x14ac:dyDescent="0.25">
      <c r="A1571"/>
      <c r="B1571"/>
      <c r="C1571"/>
      <c r="D1571"/>
      <c r="E1571"/>
      <c r="F1571"/>
      <c r="G1571"/>
      <c r="H1571"/>
      <c r="I1571"/>
      <c r="J1571"/>
      <c r="K1571"/>
      <c r="L1571"/>
      <c r="M1571"/>
      <c r="N1571"/>
      <c r="O1571"/>
      <c r="P1571"/>
      <c r="Q1571"/>
      <c r="R1571"/>
      <c r="S1571"/>
    </row>
    <row r="1572" spans="1:19" x14ac:dyDescent="0.25">
      <c r="A1572"/>
      <c r="B1572"/>
      <c r="C1572"/>
      <c r="D1572"/>
      <c r="E1572"/>
      <c r="F1572"/>
      <c r="G1572"/>
      <c r="H1572"/>
      <c r="I1572"/>
      <c r="J1572"/>
      <c r="K1572"/>
      <c r="L1572"/>
      <c r="M1572"/>
      <c r="N1572"/>
      <c r="O1572"/>
      <c r="P1572"/>
      <c r="Q1572"/>
      <c r="R1572"/>
      <c r="S1572"/>
    </row>
    <row r="1573" spans="1:19" x14ac:dyDescent="0.25">
      <c r="A1573"/>
      <c r="B1573"/>
      <c r="C1573"/>
      <c r="D1573"/>
      <c r="E1573"/>
      <c r="F1573"/>
      <c r="G1573"/>
      <c r="H1573"/>
      <c r="I1573"/>
      <c r="J1573"/>
      <c r="K1573"/>
      <c r="L1573"/>
      <c r="M1573"/>
      <c r="N1573"/>
      <c r="O1573"/>
      <c r="P1573"/>
      <c r="Q1573"/>
      <c r="R1573"/>
      <c r="S1573"/>
    </row>
    <row r="1574" spans="1:19" x14ac:dyDescent="0.25">
      <c r="A1574"/>
      <c r="B1574"/>
      <c r="C1574"/>
      <c r="D1574"/>
      <c r="E1574"/>
      <c r="F1574"/>
      <c r="G1574"/>
      <c r="H1574"/>
      <c r="I1574"/>
      <c r="J1574"/>
      <c r="K1574"/>
      <c r="L1574"/>
      <c r="M1574"/>
      <c r="N1574"/>
      <c r="O1574"/>
      <c r="P1574"/>
      <c r="Q1574"/>
      <c r="R1574"/>
      <c r="S1574"/>
    </row>
    <row r="1575" spans="1:19" x14ac:dyDescent="0.25">
      <c r="A1575"/>
      <c r="B1575"/>
      <c r="C1575"/>
      <c r="D1575"/>
      <c r="E1575"/>
      <c r="F1575"/>
      <c r="G1575"/>
      <c r="H1575"/>
      <c r="I1575"/>
      <c r="J1575"/>
      <c r="K1575"/>
      <c r="L1575"/>
      <c r="M1575"/>
      <c r="N1575"/>
      <c r="O1575"/>
      <c r="P1575"/>
      <c r="Q1575"/>
      <c r="R1575"/>
      <c r="S1575"/>
    </row>
    <row r="1576" spans="1:19" x14ac:dyDescent="0.25">
      <c r="A1576"/>
      <c r="B1576"/>
      <c r="C1576"/>
      <c r="D1576"/>
      <c r="E1576"/>
      <c r="F1576"/>
      <c r="G1576"/>
      <c r="H1576"/>
      <c r="I1576"/>
      <c r="J1576"/>
      <c r="K1576"/>
      <c r="L1576"/>
      <c r="M1576"/>
      <c r="N1576"/>
      <c r="O1576"/>
      <c r="P1576"/>
      <c r="Q1576"/>
      <c r="R1576"/>
      <c r="S1576"/>
    </row>
    <row r="1577" spans="1:19" x14ac:dyDescent="0.25">
      <c r="A1577"/>
      <c r="B1577"/>
      <c r="C1577"/>
      <c r="D1577"/>
      <c r="E1577"/>
      <c r="F1577"/>
      <c r="G1577"/>
      <c r="H1577"/>
      <c r="I1577"/>
      <c r="J1577"/>
      <c r="K1577"/>
      <c r="L1577"/>
      <c r="M1577"/>
      <c r="N1577"/>
      <c r="O1577"/>
      <c r="P1577"/>
      <c r="Q1577"/>
      <c r="R1577"/>
      <c r="S1577"/>
    </row>
    <row r="1578" spans="1:19" x14ac:dyDescent="0.25">
      <c r="A1578"/>
      <c r="B1578"/>
      <c r="C1578"/>
      <c r="D1578"/>
      <c r="E1578"/>
      <c r="F1578"/>
      <c r="G1578"/>
      <c r="H1578"/>
      <c r="I1578"/>
      <c r="J1578"/>
      <c r="K1578"/>
      <c r="L1578"/>
      <c r="M1578"/>
      <c r="N1578"/>
      <c r="O1578"/>
      <c r="P1578"/>
      <c r="Q1578"/>
      <c r="R1578"/>
      <c r="S1578"/>
    </row>
    <row r="1579" spans="1:19" x14ac:dyDescent="0.25">
      <c r="A1579"/>
      <c r="B1579"/>
      <c r="C1579"/>
      <c r="D1579"/>
      <c r="E1579"/>
      <c r="F1579"/>
      <c r="G1579"/>
      <c r="H1579"/>
      <c r="I1579"/>
      <c r="J1579"/>
      <c r="K1579"/>
      <c r="L1579"/>
      <c r="M1579"/>
      <c r="N1579"/>
      <c r="O1579"/>
      <c r="P1579"/>
      <c r="Q1579"/>
      <c r="R1579"/>
      <c r="S1579"/>
    </row>
    <row r="1580" spans="1:19" x14ac:dyDescent="0.25">
      <c r="A1580"/>
      <c r="B1580"/>
      <c r="C1580"/>
      <c r="D1580"/>
      <c r="E1580"/>
      <c r="F1580"/>
      <c r="G1580"/>
      <c r="H1580"/>
      <c r="I1580"/>
      <c r="J1580"/>
      <c r="K1580"/>
      <c r="L1580"/>
      <c r="M1580"/>
      <c r="N1580"/>
      <c r="O1580"/>
      <c r="P1580"/>
      <c r="Q1580"/>
      <c r="R1580"/>
      <c r="S1580"/>
    </row>
    <row r="1581" spans="1:19" x14ac:dyDescent="0.25">
      <c r="A1581"/>
      <c r="B1581"/>
      <c r="C1581"/>
      <c r="D1581"/>
      <c r="E1581"/>
      <c r="F1581"/>
      <c r="G1581"/>
      <c r="H1581"/>
      <c r="I1581"/>
      <c r="J1581"/>
      <c r="K1581"/>
      <c r="L1581"/>
      <c r="M1581"/>
      <c r="N1581"/>
      <c r="O1581"/>
      <c r="P1581"/>
      <c r="Q1581"/>
      <c r="R1581"/>
      <c r="S1581"/>
    </row>
    <row r="1582" spans="1:19" x14ac:dyDescent="0.25">
      <c r="A1582"/>
      <c r="B1582"/>
      <c r="C1582"/>
      <c r="D1582"/>
      <c r="E1582"/>
      <c r="F1582"/>
      <c r="G1582"/>
      <c r="H1582"/>
      <c r="I1582"/>
      <c r="J1582"/>
      <c r="K1582"/>
      <c r="L1582"/>
      <c r="M1582"/>
      <c r="N1582"/>
      <c r="O1582"/>
      <c r="P1582"/>
      <c r="Q1582"/>
      <c r="R1582"/>
      <c r="S1582"/>
    </row>
    <row r="1583" spans="1:19" x14ac:dyDescent="0.25">
      <c r="A1583"/>
      <c r="B1583"/>
      <c r="C1583"/>
      <c r="D1583"/>
      <c r="E1583"/>
      <c r="F1583"/>
      <c r="G1583"/>
      <c r="H1583"/>
      <c r="I1583"/>
      <c r="J1583"/>
      <c r="K1583"/>
      <c r="L1583"/>
      <c r="M1583"/>
      <c r="N1583"/>
      <c r="O1583"/>
      <c r="P1583"/>
      <c r="Q1583"/>
      <c r="R1583"/>
      <c r="S1583"/>
    </row>
    <row r="1584" spans="1:19" x14ac:dyDescent="0.25">
      <c r="A1584"/>
      <c r="B1584"/>
      <c r="C1584"/>
      <c r="D1584"/>
      <c r="E1584"/>
      <c r="F1584"/>
      <c r="G1584"/>
      <c r="H1584"/>
      <c r="I1584"/>
      <c r="J1584"/>
      <c r="K1584"/>
      <c r="L1584"/>
      <c r="M1584"/>
      <c r="N1584"/>
      <c r="O1584"/>
      <c r="P1584"/>
      <c r="Q1584"/>
      <c r="R1584"/>
      <c r="S1584"/>
    </row>
    <row r="1585" spans="1:19" x14ac:dyDescent="0.25">
      <c r="A1585"/>
      <c r="B1585"/>
      <c r="C1585"/>
      <c r="D1585"/>
      <c r="E1585"/>
      <c r="F1585"/>
      <c r="G1585"/>
      <c r="H1585"/>
      <c r="I1585"/>
      <c r="J1585"/>
      <c r="K1585"/>
      <c r="L1585"/>
      <c r="M1585"/>
      <c r="N1585"/>
      <c r="O1585"/>
      <c r="P1585"/>
      <c r="Q1585"/>
      <c r="R1585"/>
      <c r="S1585"/>
    </row>
    <row r="1586" spans="1:19" x14ac:dyDescent="0.25">
      <c r="A1586"/>
      <c r="B1586"/>
      <c r="C1586"/>
      <c r="D1586"/>
      <c r="E1586"/>
      <c r="F1586"/>
      <c r="G1586"/>
      <c r="H1586"/>
      <c r="I1586"/>
      <c r="J1586"/>
      <c r="K1586"/>
      <c r="L1586"/>
      <c r="M1586"/>
      <c r="N1586"/>
      <c r="O1586"/>
      <c r="P1586"/>
      <c r="Q1586"/>
      <c r="R1586"/>
      <c r="S1586"/>
    </row>
    <row r="1587" spans="1:19" x14ac:dyDescent="0.25">
      <c r="A1587"/>
      <c r="B1587"/>
      <c r="C1587"/>
      <c r="D1587"/>
      <c r="E1587"/>
      <c r="F1587"/>
      <c r="G1587"/>
      <c r="H1587"/>
      <c r="I1587"/>
      <c r="J1587"/>
      <c r="K1587"/>
      <c r="L1587"/>
      <c r="M1587"/>
      <c r="N1587"/>
      <c r="O1587"/>
      <c r="P1587"/>
      <c r="Q1587"/>
      <c r="R1587"/>
      <c r="S1587"/>
    </row>
    <row r="1588" spans="1:19" x14ac:dyDescent="0.25">
      <c r="A1588"/>
      <c r="B1588"/>
      <c r="C1588"/>
      <c r="D1588"/>
      <c r="E1588"/>
      <c r="F1588"/>
      <c r="G1588"/>
      <c r="H1588"/>
      <c r="I1588"/>
      <c r="J1588"/>
      <c r="K1588"/>
      <c r="L1588"/>
      <c r="M1588"/>
      <c r="N1588"/>
      <c r="O1588"/>
      <c r="P1588"/>
      <c r="Q1588"/>
      <c r="R1588"/>
      <c r="S1588"/>
    </row>
    <row r="1589" spans="1:19" x14ac:dyDescent="0.25">
      <c r="A1589"/>
      <c r="B1589"/>
      <c r="C1589"/>
      <c r="D1589"/>
      <c r="E1589"/>
      <c r="F1589"/>
      <c r="G1589"/>
      <c r="H1589"/>
      <c r="I1589"/>
      <c r="J1589"/>
      <c r="K1589"/>
      <c r="L1589"/>
      <c r="M1589"/>
      <c r="N1589"/>
      <c r="O1589"/>
      <c r="P1589"/>
      <c r="Q1589"/>
      <c r="R1589"/>
      <c r="S1589"/>
    </row>
    <row r="1590" spans="1:19" x14ac:dyDescent="0.25">
      <c r="A1590"/>
      <c r="B1590"/>
      <c r="C1590"/>
      <c r="D1590"/>
      <c r="E1590"/>
      <c r="F1590"/>
      <c r="G1590"/>
      <c r="H1590"/>
      <c r="I1590"/>
      <c r="J1590"/>
      <c r="K1590"/>
      <c r="L1590"/>
      <c r="M1590"/>
      <c r="N1590"/>
      <c r="O1590"/>
      <c r="P1590"/>
      <c r="Q1590"/>
      <c r="R1590"/>
      <c r="S1590"/>
    </row>
    <row r="1591" spans="1:19" x14ac:dyDescent="0.25">
      <c r="A1591"/>
      <c r="B1591"/>
      <c r="C1591"/>
      <c r="D1591"/>
      <c r="E1591"/>
      <c r="F1591"/>
      <c r="G1591"/>
      <c r="H1591"/>
      <c r="I1591"/>
      <c r="J1591"/>
      <c r="K1591"/>
      <c r="L1591"/>
      <c r="M1591"/>
      <c r="N1591"/>
      <c r="O1591"/>
      <c r="P1591"/>
      <c r="Q1591"/>
      <c r="R1591"/>
      <c r="S1591"/>
    </row>
    <row r="1592" spans="1:19" x14ac:dyDescent="0.25">
      <c r="A1592"/>
      <c r="B1592"/>
      <c r="C1592"/>
      <c r="D1592"/>
      <c r="E1592"/>
      <c r="F1592"/>
      <c r="G1592"/>
      <c r="H1592"/>
      <c r="I1592"/>
      <c r="J1592"/>
      <c r="K1592"/>
      <c r="L1592"/>
      <c r="M1592"/>
      <c r="N1592"/>
      <c r="O1592"/>
      <c r="P1592"/>
      <c r="Q1592"/>
      <c r="R1592"/>
      <c r="S1592"/>
    </row>
    <row r="1593" spans="1:19" x14ac:dyDescent="0.25">
      <c r="A1593"/>
      <c r="B1593"/>
      <c r="C1593"/>
      <c r="D1593"/>
      <c r="E1593"/>
      <c r="F1593"/>
      <c r="G1593"/>
      <c r="H1593"/>
      <c r="I1593"/>
      <c r="J1593"/>
      <c r="K1593"/>
      <c r="L1593"/>
      <c r="M1593"/>
      <c r="N1593"/>
      <c r="O1593"/>
      <c r="P1593"/>
      <c r="Q1593"/>
      <c r="R1593"/>
      <c r="S1593"/>
    </row>
    <row r="1594" spans="1:19" x14ac:dyDescent="0.25">
      <c r="A1594"/>
      <c r="B1594"/>
      <c r="C1594"/>
      <c r="D1594"/>
      <c r="E1594"/>
      <c r="F1594"/>
      <c r="G1594"/>
      <c r="H1594"/>
      <c r="I1594"/>
      <c r="J1594"/>
      <c r="K1594"/>
      <c r="L1594"/>
      <c r="M1594"/>
      <c r="N1594"/>
      <c r="O1594"/>
      <c r="P1594"/>
      <c r="Q1594"/>
      <c r="R1594"/>
      <c r="S1594"/>
    </row>
    <row r="1595" spans="1:19" x14ac:dyDescent="0.25">
      <c r="A1595"/>
      <c r="B1595"/>
      <c r="C1595"/>
      <c r="D1595"/>
      <c r="E1595"/>
      <c r="F1595"/>
      <c r="G1595"/>
      <c r="H1595"/>
      <c r="I1595"/>
      <c r="J1595"/>
      <c r="K1595"/>
      <c r="L1595"/>
      <c r="M1595"/>
      <c r="N1595"/>
      <c r="O1595"/>
      <c r="P1595"/>
      <c r="Q1595"/>
      <c r="R1595"/>
      <c r="S1595"/>
    </row>
    <row r="1596" spans="1:19" x14ac:dyDescent="0.25">
      <c r="A1596"/>
      <c r="B1596"/>
      <c r="C1596"/>
      <c r="D1596"/>
      <c r="E1596"/>
      <c r="F1596"/>
      <c r="G1596"/>
      <c r="H1596"/>
      <c r="I1596"/>
      <c r="J1596"/>
      <c r="K1596"/>
      <c r="L1596"/>
      <c r="M1596"/>
      <c r="N1596"/>
      <c r="O1596"/>
      <c r="P1596"/>
      <c r="Q1596"/>
      <c r="R1596"/>
      <c r="S1596"/>
    </row>
    <row r="1597" spans="1:19" x14ac:dyDescent="0.25">
      <c r="A1597"/>
      <c r="B1597"/>
      <c r="C1597"/>
      <c r="D1597"/>
      <c r="E1597"/>
      <c r="F1597"/>
      <c r="G1597"/>
      <c r="H1597"/>
      <c r="I1597"/>
      <c r="J1597"/>
      <c r="K1597"/>
      <c r="L1597"/>
      <c r="M1597"/>
      <c r="N1597"/>
      <c r="O1597"/>
      <c r="P1597"/>
      <c r="Q1597"/>
      <c r="R1597"/>
      <c r="S1597"/>
    </row>
    <row r="1598" spans="1:19" x14ac:dyDescent="0.25">
      <c r="A1598"/>
      <c r="B1598"/>
      <c r="C1598"/>
      <c r="D1598"/>
      <c r="E1598"/>
      <c r="F1598"/>
      <c r="G1598"/>
      <c r="H1598"/>
      <c r="I1598"/>
      <c r="J1598"/>
      <c r="K1598"/>
      <c r="L1598"/>
      <c r="M1598"/>
      <c r="N1598"/>
      <c r="O1598"/>
      <c r="P1598"/>
      <c r="Q1598"/>
      <c r="R1598"/>
      <c r="S1598"/>
    </row>
    <row r="1599" spans="1:19" x14ac:dyDescent="0.25">
      <c r="A1599"/>
      <c r="B1599"/>
      <c r="C1599"/>
      <c r="D1599"/>
      <c r="E1599"/>
      <c r="F1599"/>
      <c r="G1599"/>
      <c r="H1599"/>
      <c r="I1599"/>
      <c r="J1599"/>
      <c r="K1599"/>
      <c r="L1599"/>
      <c r="M1599"/>
      <c r="N1599"/>
      <c r="O1599"/>
      <c r="P1599"/>
      <c r="Q1599"/>
      <c r="R1599"/>
      <c r="S1599"/>
    </row>
    <row r="1600" spans="1:19" x14ac:dyDescent="0.25">
      <c r="A1600"/>
      <c r="B1600"/>
      <c r="C1600"/>
      <c r="D1600"/>
      <c r="E1600"/>
      <c r="F1600"/>
      <c r="G1600"/>
      <c r="H1600"/>
      <c r="I1600"/>
      <c r="J1600"/>
      <c r="K1600"/>
      <c r="L1600"/>
      <c r="M1600"/>
      <c r="N1600"/>
      <c r="O1600"/>
      <c r="P1600"/>
      <c r="Q1600"/>
      <c r="R1600"/>
      <c r="S1600"/>
    </row>
    <row r="1601" spans="1:19" x14ac:dyDescent="0.25">
      <c r="A1601"/>
      <c r="B1601"/>
      <c r="C1601"/>
      <c r="D1601"/>
      <c r="E1601"/>
      <c r="F1601"/>
      <c r="G1601"/>
      <c r="H1601"/>
      <c r="I1601"/>
      <c r="J1601"/>
      <c r="K1601"/>
      <c r="L1601"/>
      <c r="M1601"/>
      <c r="N1601"/>
      <c r="O1601"/>
      <c r="P1601"/>
      <c r="Q1601"/>
      <c r="R1601"/>
      <c r="S1601"/>
    </row>
    <row r="1602" spans="1:19" x14ac:dyDescent="0.25">
      <c r="A1602"/>
      <c r="B1602"/>
      <c r="C1602"/>
      <c r="D1602"/>
      <c r="E1602"/>
      <c r="F1602"/>
      <c r="G1602"/>
      <c r="H1602"/>
      <c r="I1602"/>
      <c r="J1602"/>
      <c r="K1602"/>
      <c r="L1602"/>
      <c r="M1602"/>
      <c r="N1602"/>
      <c r="O1602"/>
      <c r="P1602"/>
      <c r="Q1602"/>
      <c r="R1602"/>
      <c r="S1602"/>
    </row>
    <row r="1603" spans="1:19" x14ac:dyDescent="0.25">
      <c r="A1603"/>
      <c r="B1603"/>
      <c r="C1603"/>
      <c r="D1603"/>
      <c r="E1603"/>
      <c r="F1603"/>
      <c r="G1603"/>
      <c r="H1603"/>
      <c r="I1603"/>
      <c r="J1603"/>
      <c r="K1603"/>
      <c r="L1603"/>
      <c r="M1603"/>
      <c r="N1603"/>
      <c r="O1603"/>
      <c r="P1603"/>
      <c r="Q1603"/>
      <c r="R1603"/>
      <c r="S1603"/>
    </row>
    <row r="1604" spans="1:19" x14ac:dyDescent="0.25">
      <c r="A1604"/>
      <c r="B1604"/>
      <c r="C1604"/>
      <c r="D1604"/>
      <c r="E1604"/>
      <c r="F1604"/>
      <c r="G1604"/>
      <c r="H1604"/>
      <c r="I1604"/>
      <c r="J1604"/>
      <c r="K1604"/>
      <c r="L1604"/>
      <c r="M1604"/>
      <c r="N1604"/>
      <c r="O1604"/>
      <c r="P1604"/>
      <c r="Q1604"/>
      <c r="R1604"/>
      <c r="S1604"/>
    </row>
    <row r="1605" spans="1:19" x14ac:dyDescent="0.25">
      <c r="A1605"/>
      <c r="B1605"/>
      <c r="C1605"/>
      <c r="D1605"/>
      <c r="E1605"/>
      <c r="F1605"/>
      <c r="G1605"/>
      <c r="H1605"/>
      <c r="I1605"/>
      <c r="J1605"/>
      <c r="K1605"/>
      <c r="L1605"/>
      <c r="M1605"/>
      <c r="N1605"/>
      <c r="O1605"/>
      <c r="P1605"/>
      <c r="Q1605"/>
      <c r="R1605"/>
      <c r="S1605"/>
    </row>
    <row r="1606" spans="1:19" x14ac:dyDescent="0.25">
      <c r="A1606"/>
      <c r="B1606"/>
      <c r="C1606"/>
      <c r="D1606"/>
      <c r="E1606"/>
      <c r="F1606"/>
      <c r="G1606"/>
      <c r="H1606"/>
      <c r="I1606"/>
      <c r="J1606"/>
      <c r="K1606"/>
      <c r="L1606"/>
      <c r="M1606"/>
      <c r="N1606"/>
      <c r="O1606"/>
      <c r="P1606"/>
      <c r="Q1606"/>
      <c r="R1606"/>
      <c r="S1606"/>
    </row>
    <row r="1607" spans="1:19" x14ac:dyDescent="0.25">
      <c r="A1607"/>
      <c r="B1607"/>
      <c r="C1607"/>
      <c r="D1607"/>
      <c r="E1607"/>
      <c r="F1607"/>
      <c r="G1607"/>
      <c r="H1607"/>
      <c r="I1607"/>
      <c r="J1607"/>
      <c r="K1607"/>
      <c r="L1607"/>
      <c r="M1607"/>
      <c r="N1607"/>
      <c r="O1607"/>
      <c r="P1607"/>
      <c r="Q1607"/>
      <c r="R1607"/>
      <c r="S1607"/>
    </row>
    <row r="1608" spans="1:19" x14ac:dyDescent="0.25">
      <c r="A1608"/>
      <c r="B1608"/>
      <c r="C1608"/>
      <c r="D1608"/>
      <c r="E1608"/>
      <c r="F1608"/>
      <c r="G1608"/>
      <c r="H1608"/>
      <c r="I1608"/>
      <c r="J1608"/>
      <c r="K1608"/>
      <c r="L1608"/>
      <c r="M1608"/>
      <c r="N1608"/>
      <c r="O1608"/>
      <c r="P1608"/>
      <c r="Q1608"/>
      <c r="R1608"/>
      <c r="S1608"/>
    </row>
    <row r="1609" spans="1:19" x14ac:dyDescent="0.25">
      <c r="A1609"/>
      <c r="B1609"/>
      <c r="C1609"/>
      <c r="D1609"/>
      <c r="E1609"/>
      <c r="F1609"/>
      <c r="G1609"/>
      <c r="H1609"/>
      <c r="I1609"/>
      <c r="J1609"/>
      <c r="K1609"/>
      <c r="L1609"/>
      <c r="M1609"/>
      <c r="N1609"/>
      <c r="O1609"/>
      <c r="P1609"/>
      <c r="Q1609"/>
      <c r="R1609"/>
      <c r="S1609"/>
    </row>
    <row r="1610" spans="1:19" x14ac:dyDescent="0.25">
      <c r="A1610"/>
      <c r="B1610"/>
      <c r="C1610"/>
      <c r="D1610"/>
      <c r="E1610"/>
      <c r="F1610"/>
      <c r="G1610"/>
      <c r="H1610"/>
      <c r="I1610"/>
      <c r="J1610"/>
      <c r="K1610"/>
      <c r="L1610"/>
      <c r="M1610"/>
      <c r="N1610"/>
      <c r="O1610"/>
      <c r="P1610"/>
      <c r="Q1610"/>
      <c r="R1610"/>
      <c r="S1610"/>
    </row>
    <row r="1611" spans="1:19" x14ac:dyDescent="0.25">
      <c r="A1611"/>
      <c r="B1611"/>
      <c r="C1611"/>
      <c r="D1611"/>
      <c r="E1611"/>
      <c r="F1611"/>
      <c r="G1611"/>
      <c r="H1611"/>
      <c r="I1611"/>
      <c r="J1611"/>
      <c r="K1611"/>
      <c r="L1611"/>
      <c r="M1611"/>
      <c r="N1611"/>
      <c r="O1611"/>
      <c r="P1611"/>
      <c r="Q1611"/>
      <c r="R1611"/>
      <c r="S1611"/>
    </row>
    <row r="1612" spans="1:19" x14ac:dyDescent="0.25">
      <c r="A1612"/>
      <c r="B1612"/>
      <c r="C1612"/>
      <c r="D1612"/>
      <c r="E1612"/>
      <c r="F1612"/>
      <c r="G1612"/>
      <c r="H1612"/>
      <c r="I1612"/>
      <c r="J1612"/>
      <c r="K1612"/>
      <c r="L1612"/>
      <c r="M1612"/>
      <c r="N1612"/>
      <c r="O1612"/>
      <c r="P1612"/>
      <c r="Q1612"/>
      <c r="R1612"/>
      <c r="S1612"/>
    </row>
    <row r="1613" spans="1:19" x14ac:dyDescent="0.25">
      <c r="A1613"/>
      <c r="B1613"/>
      <c r="C1613"/>
      <c r="D1613"/>
      <c r="E1613"/>
      <c r="F1613"/>
      <c r="G1613"/>
      <c r="H1613"/>
      <c r="I1613"/>
      <c r="J1613"/>
      <c r="K1613"/>
      <c r="L1613"/>
      <c r="M1613"/>
      <c r="N1613"/>
      <c r="O1613"/>
      <c r="P1613"/>
      <c r="Q1613"/>
      <c r="R1613"/>
      <c r="S1613"/>
    </row>
    <row r="1614" spans="1:19" x14ac:dyDescent="0.25">
      <c r="A1614"/>
      <c r="B1614"/>
      <c r="C1614"/>
      <c r="D1614"/>
      <c r="E1614"/>
      <c r="F1614"/>
      <c r="G1614"/>
      <c r="H1614"/>
      <c r="I1614"/>
      <c r="J1614"/>
      <c r="K1614"/>
      <c r="L1614"/>
      <c r="M1614"/>
      <c r="N1614"/>
      <c r="O1614"/>
      <c r="P1614"/>
      <c r="Q1614"/>
      <c r="R1614"/>
      <c r="S1614"/>
    </row>
    <row r="1615" spans="1:19" x14ac:dyDescent="0.25">
      <c r="A1615"/>
      <c r="B1615"/>
      <c r="C1615"/>
      <c r="D1615"/>
      <c r="E1615"/>
      <c r="F1615"/>
      <c r="G1615"/>
      <c r="H1615"/>
      <c r="I1615"/>
      <c r="J1615"/>
      <c r="K1615"/>
      <c r="L1615"/>
      <c r="M1615"/>
      <c r="N1615"/>
      <c r="O1615"/>
      <c r="P1615"/>
      <c r="Q1615"/>
      <c r="R1615"/>
      <c r="S1615"/>
    </row>
    <row r="1616" spans="1:19" x14ac:dyDescent="0.25">
      <c r="A1616"/>
      <c r="B1616"/>
      <c r="C1616"/>
      <c r="D1616"/>
      <c r="E1616"/>
      <c r="F1616"/>
      <c r="G1616"/>
      <c r="H1616"/>
      <c r="I1616"/>
      <c r="J1616"/>
      <c r="K1616"/>
      <c r="L1616"/>
      <c r="M1616"/>
      <c r="N1616"/>
      <c r="O1616"/>
      <c r="P1616"/>
      <c r="Q1616"/>
      <c r="R1616"/>
      <c r="S1616"/>
    </row>
    <row r="1617" spans="1:19" x14ac:dyDescent="0.25">
      <c r="A1617"/>
      <c r="B1617"/>
      <c r="C1617"/>
      <c r="D1617"/>
      <c r="E1617"/>
      <c r="F1617"/>
      <c r="G1617"/>
      <c r="H1617"/>
      <c r="I1617"/>
      <c r="J1617"/>
      <c r="K1617"/>
      <c r="L1617"/>
      <c r="M1617"/>
      <c r="N1617"/>
      <c r="O1617"/>
      <c r="P1617"/>
      <c r="Q1617"/>
      <c r="R1617"/>
      <c r="S1617"/>
    </row>
    <row r="1618" spans="1:19" x14ac:dyDescent="0.25">
      <c r="A1618"/>
      <c r="B1618"/>
      <c r="C1618"/>
      <c r="D1618"/>
      <c r="E1618"/>
      <c r="F1618"/>
      <c r="G1618"/>
      <c r="H1618"/>
      <c r="I1618"/>
      <c r="J1618"/>
      <c r="K1618"/>
      <c r="L1618"/>
      <c r="M1618"/>
      <c r="N1618"/>
      <c r="O1618"/>
      <c r="P1618"/>
      <c r="Q1618"/>
      <c r="R1618"/>
      <c r="S1618"/>
    </row>
    <row r="1619" spans="1:19" x14ac:dyDescent="0.25">
      <c r="A1619"/>
      <c r="B1619"/>
      <c r="C1619"/>
      <c r="D1619"/>
      <c r="E1619"/>
      <c r="F1619"/>
      <c r="G1619"/>
      <c r="H1619"/>
      <c r="I1619"/>
      <c r="J1619"/>
      <c r="K1619"/>
      <c r="L1619"/>
      <c r="M1619"/>
      <c r="N1619"/>
      <c r="O1619"/>
      <c r="P1619"/>
      <c r="Q1619"/>
      <c r="R1619"/>
      <c r="S1619"/>
    </row>
    <row r="1620" spans="1:19" x14ac:dyDescent="0.25">
      <c r="A1620"/>
      <c r="B1620"/>
      <c r="C1620"/>
      <c r="D1620"/>
      <c r="E1620"/>
      <c r="F1620"/>
      <c r="G1620"/>
      <c r="H1620"/>
      <c r="I1620"/>
      <c r="J1620"/>
      <c r="K1620"/>
      <c r="L1620"/>
      <c r="M1620"/>
      <c r="N1620"/>
      <c r="O1620"/>
      <c r="P1620"/>
      <c r="Q1620"/>
      <c r="R1620"/>
      <c r="S1620"/>
    </row>
    <row r="1621" spans="1:19" x14ac:dyDescent="0.25">
      <c r="A1621"/>
      <c r="B1621"/>
      <c r="C1621"/>
      <c r="D1621"/>
      <c r="E1621"/>
      <c r="F1621"/>
      <c r="G1621"/>
      <c r="H1621"/>
      <c r="I1621"/>
      <c r="J1621"/>
      <c r="K1621"/>
      <c r="L1621"/>
      <c r="M1621"/>
      <c r="N1621"/>
      <c r="O1621"/>
      <c r="P1621"/>
      <c r="Q1621"/>
      <c r="R1621"/>
      <c r="S1621"/>
    </row>
    <row r="1622" spans="1:19" x14ac:dyDescent="0.25">
      <c r="A1622"/>
      <c r="B1622"/>
      <c r="C1622"/>
      <c r="D1622"/>
      <c r="E1622"/>
      <c r="F1622"/>
      <c r="G1622"/>
      <c r="H1622"/>
      <c r="I1622"/>
      <c r="J1622"/>
      <c r="K1622"/>
      <c r="L1622"/>
      <c r="M1622"/>
      <c r="N1622"/>
      <c r="O1622"/>
      <c r="P1622"/>
      <c r="Q1622"/>
      <c r="R1622"/>
      <c r="S1622"/>
    </row>
    <row r="1623" spans="1:19" x14ac:dyDescent="0.25">
      <c r="A1623"/>
      <c r="B1623"/>
      <c r="C1623"/>
      <c r="D1623"/>
      <c r="E1623"/>
      <c r="F1623"/>
      <c r="G1623"/>
      <c r="H1623"/>
      <c r="I1623"/>
      <c r="J1623"/>
      <c r="K1623"/>
      <c r="L1623"/>
      <c r="M1623"/>
      <c r="N1623"/>
      <c r="O1623"/>
      <c r="P1623"/>
      <c r="Q1623"/>
      <c r="R1623"/>
      <c r="S1623"/>
    </row>
    <row r="1624" spans="1:19" x14ac:dyDescent="0.25">
      <c r="A1624"/>
      <c r="B1624"/>
      <c r="C1624"/>
      <c r="D1624"/>
      <c r="E1624"/>
      <c r="F1624"/>
      <c r="G1624"/>
      <c r="H1624"/>
      <c r="I1624"/>
      <c r="J1624"/>
      <c r="K1624"/>
      <c r="L1624"/>
      <c r="M1624"/>
      <c r="N1624"/>
      <c r="O1624"/>
      <c r="P1624"/>
      <c r="Q1624"/>
      <c r="R1624"/>
      <c r="S1624"/>
    </row>
    <row r="1625" spans="1:19" x14ac:dyDescent="0.25">
      <c r="A1625"/>
      <c r="B1625"/>
      <c r="C1625"/>
      <c r="D1625"/>
      <c r="E1625"/>
      <c r="F1625"/>
      <c r="G1625"/>
      <c r="H1625"/>
      <c r="I1625"/>
      <c r="J1625"/>
      <c r="K1625"/>
      <c r="L1625"/>
      <c r="M1625"/>
      <c r="N1625"/>
      <c r="O1625"/>
      <c r="P1625"/>
      <c r="Q1625"/>
      <c r="R1625"/>
      <c r="S1625"/>
    </row>
    <row r="1626" spans="1:19" x14ac:dyDescent="0.25">
      <c r="A1626"/>
      <c r="B1626"/>
      <c r="C1626"/>
      <c r="D1626"/>
      <c r="E1626"/>
      <c r="F1626"/>
      <c r="G1626"/>
      <c r="H1626"/>
      <c r="I1626"/>
      <c r="J1626"/>
      <c r="K1626"/>
      <c r="L1626"/>
      <c r="M1626"/>
      <c r="N1626"/>
      <c r="O1626"/>
      <c r="P1626"/>
      <c r="Q1626"/>
      <c r="R1626"/>
      <c r="S1626"/>
    </row>
    <row r="1627" spans="1:19" x14ac:dyDescent="0.25">
      <c r="A1627"/>
      <c r="B1627"/>
      <c r="C1627"/>
      <c r="D1627"/>
      <c r="E1627"/>
      <c r="F1627"/>
      <c r="G1627"/>
      <c r="H1627"/>
      <c r="I1627"/>
      <c r="J1627"/>
      <c r="K1627"/>
      <c r="L1627"/>
      <c r="M1627"/>
      <c r="N1627"/>
      <c r="O1627"/>
      <c r="P1627"/>
      <c r="Q1627"/>
      <c r="R1627"/>
      <c r="S1627"/>
    </row>
    <row r="1628" spans="1:19" x14ac:dyDescent="0.25">
      <c r="A1628"/>
      <c r="B1628"/>
      <c r="C1628"/>
      <c r="D1628"/>
      <c r="E1628"/>
      <c r="F1628"/>
      <c r="G1628"/>
      <c r="H1628"/>
      <c r="I1628"/>
      <c r="J1628"/>
      <c r="K1628"/>
      <c r="L1628"/>
      <c r="M1628"/>
      <c r="N1628"/>
      <c r="O1628"/>
      <c r="P1628"/>
      <c r="Q1628"/>
      <c r="R1628"/>
      <c r="S1628"/>
    </row>
    <row r="1629" spans="1:19" x14ac:dyDescent="0.25">
      <c r="A1629"/>
      <c r="B1629"/>
      <c r="C1629"/>
      <c r="D1629"/>
      <c r="E1629"/>
      <c r="F1629"/>
      <c r="G1629"/>
      <c r="H1629"/>
      <c r="I1629"/>
      <c r="J1629"/>
      <c r="K1629"/>
      <c r="L1629"/>
      <c r="M1629"/>
      <c r="N1629"/>
      <c r="O1629"/>
      <c r="P1629"/>
      <c r="Q1629"/>
      <c r="R1629"/>
      <c r="S1629"/>
    </row>
    <row r="1630" spans="1:19" x14ac:dyDescent="0.25">
      <c r="A1630"/>
      <c r="B1630"/>
      <c r="C1630"/>
      <c r="D1630"/>
      <c r="E1630"/>
      <c r="F1630"/>
      <c r="G1630"/>
      <c r="H1630"/>
      <c r="I1630"/>
      <c r="J1630"/>
      <c r="K1630"/>
      <c r="L1630"/>
      <c r="M1630"/>
      <c r="N1630"/>
      <c r="O1630"/>
      <c r="P1630"/>
      <c r="Q1630"/>
      <c r="R1630"/>
      <c r="S1630"/>
    </row>
    <row r="1631" spans="1:19" x14ac:dyDescent="0.25">
      <c r="A1631"/>
      <c r="B1631"/>
      <c r="C1631"/>
      <c r="D1631"/>
      <c r="E1631"/>
      <c r="F1631"/>
      <c r="G1631"/>
      <c r="H1631"/>
      <c r="I1631"/>
      <c r="J1631"/>
      <c r="K1631"/>
      <c r="L1631"/>
      <c r="M1631"/>
      <c r="N1631"/>
      <c r="O1631"/>
      <c r="P1631"/>
      <c r="Q1631"/>
      <c r="R1631"/>
      <c r="S1631"/>
    </row>
    <row r="1632" spans="1:19" x14ac:dyDescent="0.25">
      <c r="A1632"/>
      <c r="B1632"/>
      <c r="C1632"/>
      <c r="D1632"/>
      <c r="E1632"/>
      <c r="F1632"/>
      <c r="G1632"/>
      <c r="H1632"/>
      <c r="I1632"/>
      <c r="J1632"/>
      <c r="K1632"/>
      <c r="L1632"/>
      <c r="M1632"/>
      <c r="N1632"/>
      <c r="O1632"/>
      <c r="P1632"/>
      <c r="Q1632"/>
      <c r="R1632"/>
      <c r="S1632"/>
    </row>
    <row r="1633" spans="1:19" x14ac:dyDescent="0.25">
      <c r="A1633"/>
      <c r="B1633"/>
      <c r="C1633"/>
      <c r="D1633"/>
      <c r="E1633"/>
      <c r="F1633"/>
      <c r="G1633"/>
      <c r="H1633"/>
      <c r="I1633"/>
      <c r="J1633"/>
      <c r="K1633"/>
      <c r="L1633"/>
      <c r="M1633"/>
      <c r="N1633"/>
      <c r="O1633"/>
      <c r="P1633"/>
      <c r="Q1633"/>
      <c r="R1633"/>
      <c r="S1633"/>
    </row>
    <row r="1634" spans="1:19" x14ac:dyDescent="0.25">
      <c r="A1634"/>
      <c r="B1634"/>
      <c r="C1634"/>
      <c r="D1634"/>
      <c r="E1634"/>
      <c r="F1634"/>
      <c r="G1634"/>
      <c r="H1634"/>
      <c r="I1634"/>
      <c r="J1634"/>
      <c r="K1634"/>
      <c r="L1634"/>
      <c r="M1634"/>
      <c r="N1634"/>
      <c r="O1634"/>
      <c r="P1634"/>
      <c r="Q1634"/>
      <c r="R1634"/>
      <c r="S1634"/>
    </row>
    <row r="1635" spans="1:19" x14ac:dyDescent="0.25">
      <c r="A1635"/>
      <c r="B1635"/>
      <c r="C1635"/>
      <c r="D1635"/>
      <c r="E1635"/>
      <c r="F1635"/>
      <c r="G1635"/>
      <c r="H1635"/>
      <c r="I1635"/>
      <c r="J1635"/>
      <c r="K1635"/>
      <c r="L1635"/>
      <c r="M1635"/>
      <c r="N1635"/>
      <c r="O1635"/>
      <c r="P1635"/>
      <c r="Q1635"/>
      <c r="R1635"/>
      <c r="S1635"/>
    </row>
    <row r="1636" spans="1:19" x14ac:dyDescent="0.25">
      <c r="A1636"/>
      <c r="B1636"/>
      <c r="C1636"/>
      <c r="D1636"/>
      <c r="E1636"/>
      <c r="F1636"/>
      <c r="G1636"/>
      <c r="H1636"/>
      <c r="I1636"/>
      <c r="J1636"/>
      <c r="K1636"/>
      <c r="L1636"/>
      <c r="M1636"/>
      <c r="N1636"/>
      <c r="O1636"/>
      <c r="P1636"/>
      <c r="Q1636"/>
      <c r="R1636"/>
      <c r="S1636"/>
    </row>
    <row r="1637" spans="1:19" x14ac:dyDescent="0.25">
      <c r="A1637"/>
      <c r="B1637"/>
      <c r="C1637"/>
      <c r="D1637"/>
      <c r="E1637"/>
      <c r="F1637"/>
      <c r="G1637"/>
      <c r="H1637"/>
      <c r="I1637"/>
      <c r="J1637"/>
      <c r="K1637"/>
      <c r="L1637"/>
      <c r="M1637"/>
      <c r="N1637"/>
      <c r="O1637"/>
      <c r="P1637"/>
      <c r="Q1637"/>
      <c r="R1637"/>
      <c r="S1637"/>
    </row>
    <row r="1638" spans="1:19" x14ac:dyDescent="0.25">
      <c r="A1638"/>
      <c r="B1638"/>
      <c r="C1638"/>
      <c r="D1638"/>
      <c r="E1638"/>
      <c r="F1638"/>
      <c r="G1638"/>
      <c r="H1638"/>
      <c r="I1638"/>
      <c r="J1638"/>
      <c r="K1638"/>
      <c r="L1638"/>
      <c r="M1638"/>
      <c r="N1638"/>
      <c r="O1638"/>
      <c r="P1638"/>
      <c r="Q1638"/>
      <c r="R1638"/>
      <c r="S1638"/>
    </row>
    <row r="1639" spans="1:19" x14ac:dyDescent="0.25">
      <c r="A1639"/>
      <c r="B1639"/>
      <c r="C1639"/>
      <c r="D1639"/>
      <c r="E1639"/>
      <c r="F1639"/>
      <c r="G1639"/>
      <c r="H1639"/>
      <c r="I1639"/>
      <c r="J1639"/>
      <c r="K1639"/>
      <c r="L1639"/>
      <c r="M1639"/>
      <c r="N1639"/>
      <c r="O1639"/>
      <c r="P1639"/>
      <c r="Q1639"/>
      <c r="R1639"/>
      <c r="S1639"/>
    </row>
    <row r="1640" spans="1:19" x14ac:dyDescent="0.25">
      <c r="A1640"/>
      <c r="B1640"/>
      <c r="C1640"/>
      <c r="D1640"/>
      <c r="E1640"/>
      <c r="F1640"/>
      <c r="G1640"/>
      <c r="H1640"/>
      <c r="I1640"/>
      <c r="J1640"/>
      <c r="K1640"/>
      <c r="L1640"/>
      <c r="M1640"/>
      <c r="N1640"/>
      <c r="O1640"/>
      <c r="P1640"/>
      <c r="Q1640"/>
      <c r="R1640"/>
      <c r="S1640"/>
    </row>
    <row r="1641" spans="1:19" x14ac:dyDescent="0.25">
      <c r="A1641"/>
      <c r="B1641"/>
      <c r="C1641"/>
      <c r="D1641"/>
      <c r="E1641"/>
      <c r="F1641"/>
      <c r="G1641"/>
      <c r="H1641"/>
      <c r="I1641"/>
      <c r="J1641"/>
      <c r="K1641"/>
      <c r="L1641"/>
      <c r="M1641"/>
      <c r="N1641"/>
      <c r="O1641"/>
      <c r="P1641"/>
      <c r="Q1641"/>
      <c r="R1641"/>
      <c r="S1641"/>
    </row>
    <row r="1642" spans="1:19" x14ac:dyDescent="0.25">
      <c r="A1642"/>
      <c r="B1642"/>
      <c r="C1642"/>
      <c r="D1642"/>
      <c r="E1642"/>
      <c r="F1642"/>
      <c r="G1642"/>
      <c r="H1642"/>
      <c r="I1642"/>
      <c r="J1642"/>
      <c r="K1642"/>
      <c r="L1642"/>
      <c r="M1642"/>
      <c r="N1642"/>
      <c r="O1642"/>
      <c r="P1642"/>
      <c r="Q1642"/>
      <c r="R1642"/>
      <c r="S1642"/>
    </row>
    <row r="1643" spans="1:19" x14ac:dyDescent="0.25">
      <c r="A1643"/>
      <c r="B1643"/>
      <c r="C1643"/>
      <c r="D1643"/>
      <c r="E1643"/>
      <c r="F1643"/>
      <c r="G1643"/>
      <c r="H1643"/>
      <c r="I1643"/>
      <c r="J1643"/>
      <c r="K1643"/>
      <c r="L1643"/>
      <c r="M1643"/>
      <c r="N1643"/>
      <c r="O1643"/>
      <c r="P1643"/>
      <c r="Q1643"/>
      <c r="R1643"/>
      <c r="S1643"/>
    </row>
    <row r="1644" spans="1:19" x14ac:dyDescent="0.25">
      <c r="A1644"/>
      <c r="B1644"/>
      <c r="C1644"/>
      <c r="D1644"/>
      <c r="E1644"/>
      <c r="F1644"/>
      <c r="G1644"/>
      <c r="H1644"/>
      <c r="I1644"/>
      <c r="J1644"/>
      <c r="K1644"/>
      <c r="L1644"/>
      <c r="M1644"/>
      <c r="N1644"/>
      <c r="O1644"/>
      <c r="P1644"/>
      <c r="Q1644"/>
      <c r="R1644"/>
      <c r="S1644"/>
    </row>
    <row r="1645" spans="1:19" x14ac:dyDescent="0.25">
      <c r="A1645"/>
      <c r="B1645"/>
      <c r="C1645"/>
      <c r="D1645"/>
      <c r="E1645"/>
      <c r="F1645"/>
      <c r="G1645"/>
      <c r="H1645"/>
      <c r="I1645"/>
      <c r="J1645"/>
      <c r="K1645"/>
      <c r="L1645"/>
      <c r="M1645"/>
      <c r="N1645"/>
      <c r="O1645"/>
      <c r="P1645"/>
      <c r="Q1645"/>
      <c r="R1645"/>
      <c r="S1645"/>
    </row>
    <row r="1646" spans="1:19" x14ac:dyDescent="0.25">
      <c r="A1646"/>
      <c r="B1646"/>
      <c r="C1646"/>
      <c r="D1646"/>
      <c r="E1646"/>
      <c r="F1646"/>
      <c r="G1646"/>
      <c r="H1646"/>
      <c r="I1646"/>
      <c r="J1646"/>
      <c r="K1646"/>
      <c r="L1646"/>
      <c r="M1646"/>
      <c r="N1646"/>
      <c r="O1646"/>
      <c r="P1646"/>
      <c r="Q1646"/>
      <c r="R1646"/>
      <c r="S1646"/>
    </row>
    <row r="1647" spans="1:19" x14ac:dyDescent="0.25">
      <c r="A1647"/>
      <c r="B1647"/>
      <c r="C1647"/>
      <c r="D1647"/>
      <c r="E1647"/>
      <c r="F1647"/>
      <c r="G1647"/>
      <c r="H1647"/>
      <c r="I1647"/>
      <c r="J1647"/>
      <c r="K1647"/>
      <c r="L1647"/>
      <c r="M1647"/>
      <c r="N1647"/>
      <c r="O1647"/>
      <c r="P1647"/>
      <c r="Q1647"/>
      <c r="R1647"/>
      <c r="S1647"/>
    </row>
    <row r="1648" spans="1:19" x14ac:dyDescent="0.25">
      <c r="A1648"/>
      <c r="B1648"/>
      <c r="C1648"/>
      <c r="D1648"/>
      <c r="E1648"/>
      <c r="F1648"/>
      <c r="G1648"/>
      <c r="H1648"/>
      <c r="I1648"/>
      <c r="J1648"/>
      <c r="K1648"/>
      <c r="L1648"/>
      <c r="M1648"/>
      <c r="N1648"/>
      <c r="O1648"/>
      <c r="P1648"/>
      <c r="Q1648"/>
      <c r="R1648"/>
      <c r="S1648"/>
    </row>
    <row r="1649" spans="1:19" x14ac:dyDescent="0.25">
      <c r="A1649"/>
      <c r="B1649"/>
      <c r="C1649"/>
      <c r="D1649"/>
      <c r="E1649"/>
      <c r="F1649"/>
      <c r="G1649"/>
      <c r="H1649"/>
      <c r="I1649"/>
      <c r="J1649"/>
      <c r="K1649"/>
      <c r="L1649"/>
      <c r="M1649"/>
      <c r="N1649"/>
      <c r="O1649"/>
      <c r="P1649"/>
      <c r="Q1649"/>
      <c r="R1649"/>
      <c r="S1649"/>
    </row>
    <row r="1650" spans="1:19" x14ac:dyDescent="0.25">
      <c r="A1650"/>
      <c r="B1650"/>
      <c r="C1650"/>
      <c r="D1650"/>
      <c r="E1650"/>
      <c r="F1650"/>
      <c r="G1650"/>
      <c r="H1650"/>
      <c r="I1650"/>
      <c r="J1650"/>
      <c r="K1650"/>
      <c r="L1650"/>
      <c r="M1650"/>
      <c r="N1650"/>
      <c r="O1650"/>
      <c r="P1650"/>
      <c r="Q1650"/>
      <c r="R1650"/>
      <c r="S1650"/>
    </row>
    <row r="1651" spans="1:19" x14ac:dyDescent="0.25">
      <c r="A1651"/>
      <c r="B1651"/>
      <c r="C1651"/>
      <c r="D1651"/>
      <c r="E1651"/>
      <c r="F1651"/>
      <c r="G1651"/>
      <c r="H1651"/>
      <c r="I1651"/>
      <c r="J1651"/>
      <c r="K1651"/>
      <c r="L1651"/>
      <c r="M1651"/>
      <c r="N1651"/>
      <c r="O1651"/>
      <c r="P1651"/>
      <c r="Q1651"/>
      <c r="R1651"/>
      <c r="S1651"/>
    </row>
    <row r="1652" spans="1:19" x14ac:dyDescent="0.25">
      <c r="A1652"/>
      <c r="B1652"/>
      <c r="C1652"/>
      <c r="D1652"/>
      <c r="E1652"/>
      <c r="F1652"/>
      <c r="G1652"/>
      <c r="H1652"/>
      <c r="I1652"/>
      <c r="J1652"/>
      <c r="K1652"/>
      <c r="L1652"/>
      <c r="M1652"/>
      <c r="N1652"/>
      <c r="O1652"/>
      <c r="P1652"/>
      <c r="Q1652"/>
      <c r="R1652"/>
      <c r="S1652"/>
    </row>
    <row r="1653" spans="1:19" x14ac:dyDescent="0.25">
      <c r="A1653"/>
      <c r="B1653"/>
      <c r="C1653"/>
      <c r="D1653"/>
      <c r="E1653"/>
      <c r="F1653"/>
      <c r="G1653"/>
      <c r="H1653"/>
      <c r="I1653"/>
      <c r="J1653"/>
      <c r="K1653"/>
      <c r="L1653"/>
      <c r="M1653"/>
      <c r="N1653"/>
      <c r="O1653"/>
      <c r="P1653"/>
      <c r="Q1653"/>
      <c r="R1653"/>
      <c r="S1653"/>
    </row>
    <row r="1654" spans="1:19" x14ac:dyDescent="0.25">
      <c r="A1654"/>
      <c r="B1654"/>
      <c r="C1654"/>
      <c r="D1654"/>
      <c r="E1654"/>
      <c r="F1654"/>
      <c r="G1654"/>
      <c r="H1654"/>
      <c r="I1654"/>
      <c r="J1654"/>
      <c r="K1654"/>
      <c r="L1654"/>
      <c r="M1654"/>
      <c r="N1654"/>
      <c r="O1654"/>
      <c r="P1654"/>
      <c r="Q1654"/>
      <c r="R1654"/>
      <c r="S1654"/>
    </row>
    <row r="1655" spans="1:19" x14ac:dyDescent="0.25">
      <c r="A1655"/>
      <c r="B1655"/>
      <c r="C1655"/>
      <c r="D1655"/>
      <c r="E1655"/>
      <c r="F1655"/>
      <c r="G1655"/>
      <c r="H1655"/>
      <c r="I1655"/>
      <c r="J1655"/>
      <c r="K1655"/>
      <c r="L1655"/>
      <c r="M1655"/>
      <c r="N1655"/>
      <c r="O1655"/>
      <c r="P1655"/>
      <c r="Q1655"/>
      <c r="R1655"/>
      <c r="S1655"/>
    </row>
    <row r="1656" spans="1:19" x14ac:dyDescent="0.25">
      <c r="A1656"/>
      <c r="B1656"/>
      <c r="C1656"/>
      <c r="D1656"/>
      <c r="E1656"/>
      <c r="F1656"/>
      <c r="G1656"/>
      <c r="H1656"/>
      <c r="I1656"/>
      <c r="J1656"/>
      <c r="K1656"/>
      <c r="L1656"/>
      <c r="M1656"/>
      <c r="N1656"/>
      <c r="O1656"/>
      <c r="P1656"/>
      <c r="Q1656"/>
      <c r="R1656"/>
      <c r="S1656"/>
    </row>
    <row r="1657" spans="1:19" x14ac:dyDescent="0.25">
      <c r="A1657"/>
      <c r="B1657"/>
      <c r="C1657"/>
      <c r="D1657"/>
      <c r="E1657"/>
      <c r="F1657"/>
      <c r="G1657"/>
      <c r="H1657"/>
      <c r="I1657"/>
      <c r="J1657"/>
      <c r="K1657"/>
      <c r="L1657"/>
      <c r="M1657"/>
      <c r="N1657"/>
      <c r="O1657"/>
      <c r="P1657"/>
      <c r="Q1657"/>
      <c r="R1657"/>
      <c r="S1657"/>
    </row>
    <row r="1658" spans="1:19" x14ac:dyDescent="0.25">
      <c r="A1658"/>
      <c r="B1658"/>
      <c r="C1658"/>
      <c r="D1658"/>
      <c r="E1658"/>
      <c r="F1658"/>
      <c r="G1658"/>
      <c r="H1658"/>
      <c r="I1658"/>
      <c r="J1658"/>
      <c r="K1658"/>
      <c r="L1658"/>
      <c r="M1658"/>
      <c r="N1658"/>
      <c r="O1658"/>
      <c r="P1658"/>
      <c r="Q1658"/>
      <c r="R1658"/>
      <c r="S1658"/>
    </row>
    <row r="1659" spans="1:19" x14ac:dyDescent="0.25">
      <c r="A1659"/>
      <c r="B1659"/>
      <c r="C1659"/>
      <c r="D1659"/>
      <c r="E1659"/>
      <c r="F1659"/>
      <c r="G1659"/>
      <c r="H1659"/>
      <c r="I1659"/>
      <c r="J1659"/>
      <c r="K1659"/>
      <c r="L1659"/>
      <c r="M1659"/>
      <c r="N1659"/>
      <c r="O1659"/>
      <c r="P1659"/>
      <c r="Q1659"/>
      <c r="R1659"/>
      <c r="S1659"/>
    </row>
    <row r="1660" spans="1:19" x14ac:dyDescent="0.25">
      <c r="A1660"/>
      <c r="B1660"/>
      <c r="C1660"/>
      <c r="D1660"/>
      <c r="E1660"/>
      <c r="F1660"/>
      <c r="G1660"/>
      <c r="H1660"/>
      <c r="I1660"/>
      <c r="J1660"/>
      <c r="K1660"/>
      <c r="L1660"/>
      <c r="M1660"/>
      <c r="N1660"/>
      <c r="O1660"/>
      <c r="P1660"/>
      <c r="Q1660"/>
      <c r="R1660"/>
      <c r="S1660"/>
    </row>
    <row r="1661" spans="1:19" x14ac:dyDescent="0.25">
      <c r="A1661"/>
      <c r="B1661"/>
      <c r="C1661"/>
      <c r="D1661"/>
      <c r="E1661"/>
      <c r="F1661"/>
      <c r="G1661"/>
      <c r="H1661"/>
      <c r="I1661"/>
      <c r="J1661"/>
      <c r="K1661"/>
      <c r="L1661"/>
      <c r="M1661"/>
      <c r="N1661"/>
      <c r="O1661"/>
      <c r="P1661"/>
      <c r="Q1661"/>
      <c r="R1661"/>
      <c r="S1661"/>
    </row>
    <row r="1662" spans="1:19" x14ac:dyDescent="0.25">
      <c r="A1662"/>
      <c r="B1662"/>
      <c r="C1662"/>
      <c r="D1662"/>
      <c r="E1662"/>
      <c r="F1662"/>
      <c r="G1662"/>
      <c r="H1662"/>
      <c r="I1662"/>
      <c r="J1662"/>
      <c r="K1662"/>
      <c r="L1662"/>
      <c r="M1662"/>
      <c r="N1662"/>
      <c r="O1662"/>
      <c r="P1662"/>
      <c r="Q1662"/>
      <c r="R1662"/>
      <c r="S1662"/>
    </row>
    <row r="1663" spans="1:19" x14ac:dyDescent="0.25">
      <c r="A1663"/>
      <c r="B1663"/>
      <c r="C1663"/>
      <c r="D1663"/>
      <c r="E1663"/>
      <c r="F1663"/>
      <c r="G1663"/>
      <c r="H1663"/>
      <c r="I1663"/>
      <c r="J1663"/>
      <c r="K1663"/>
      <c r="L1663"/>
      <c r="M1663"/>
      <c r="N1663"/>
      <c r="O1663"/>
      <c r="P1663"/>
      <c r="Q1663"/>
      <c r="R1663"/>
      <c r="S1663"/>
    </row>
    <row r="1664" spans="1:19" x14ac:dyDescent="0.25">
      <c r="A1664"/>
      <c r="B1664"/>
      <c r="C1664"/>
      <c r="D1664"/>
      <c r="E1664"/>
      <c r="F1664"/>
      <c r="G1664"/>
      <c r="H1664"/>
      <c r="I1664"/>
      <c r="J1664"/>
      <c r="K1664"/>
      <c r="L1664"/>
      <c r="M1664"/>
      <c r="N1664"/>
      <c r="O1664"/>
      <c r="P1664"/>
      <c r="Q1664"/>
      <c r="R1664"/>
      <c r="S1664"/>
    </row>
    <row r="1665" spans="1:19" x14ac:dyDescent="0.25">
      <c r="A1665"/>
      <c r="B1665"/>
      <c r="C1665"/>
      <c r="D1665"/>
      <c r="E1665"/>
      <c r="F1665"/>
      <c r="G1665"/>
      <c r="H1665"/>
      <c r="I1665"/>
      <c r="J1665"/>
      <c r="K1665"/>
      <c r="L1665"/>
      <c r="M1665"/>
      <c r="N1665"/>
      <c r="O1665"/>
      <c r="P1665"/>
      <c r="Q1665"/>
      <c r="R1665"/>
      <c r="S1665"/>
    </row>
    <row r="1666" spans="1:19" x14ac:dyDescent="0.25">
      <c r="A1666"/>
      <c r="B1666"/>
      <c r="C1666"/>
      <c r="D1666"/>
      <c r="E1666"/>
      <c r="F1666"/>
      <c r="G1666"/>
      <c r="H1666"/>
      <c r="I1666"/>
      <c r="J1666"/>
      <c r="K1666"/>
      <c r="L1666"/>
      <c r="M1666"/>
      <c r="N1666"/>
      <c r="O1666"/>
      <c r="P1666"/>
      <c r="Q1666"/>
      <c r="R1666"/>
      <c r="S1666"/>
    </row>
    <row r="1667" spans="1:19" x14ac:dyDescent="0.25">
      <c r="A1667"/>
      <c r="B1667"/>
      <c r="C1667"/>
      <c r="D1667"/>
      <c r="E1667"/>
      <c r="F1667"/>
      <c r="G1667"/>
      <c r="H1667"/>
      <c r="I1667"/>
      <c r="J1667"/>
      <c r="K1667"/>
      <c r="L1667"/>
      <c r="M1667"/>
      <c r="N1667"/>
      <c r="O1667"/>
      <c r="P1667"/>
      <c r="Q1667"/>
      <c r="R1667"/>
      <c r="S1667"/>
    </row>
    <row r="1668" spans="1:19" x14ac:dyDescent="0.25">
      <c r="A1668"/>
      <c r="B1668"/>
      <c r="C1668"/>
      <c r="D1668"/>
      <c r="E1668"/>
      <c r="F1668"/>
      <c r="G1668"/>
      <c r="H1668"/>
      <c r="I1668"/>
      <c r="J1668"/>
      <c r="K1668"/>
      <c r="L1668"/>
      <c r="M1668"/>
      <c r="N1668"/>
      <c r="O1668"/>
      <c r="P1668"/>
      <c r="Q1668"/>
      <c r="R1668"/>
      <c r="S1668"/>
    </row>
    <row r="1669" spans="1:19" x14ac:dyDescent="0.25">
      <c r="A1669"/>
      <c r="B1669"/>
      <c r="C1669"/>
      <c r="D1669"/>
      <c r="E1669"/>
      <c r="F1669"/>
      <c r="G1669"/>
      <c r="H1669"/>
      <c r="I1669"/>
      <c r="J1669"/>
      <c r="K1669"/>
      <c r="L1669"/>
      <c r="M1669"/>
      <c r="N1669"/>
      <c r="O1669"/>
      <c r="P1669"/>
      <c r="Q1669"/>
      <c r="R1669"/>
      <c r="S1669"/>
    </row>
    <row r="1670" spans="1:19" x14ac:dyDescent="0.25">
      <c r="A1670"/>
      <c r="B1670"/>
      <c r="C1670"/>
      <c r="D1670"/>
      <c r="E1670"/>
      <c r="F1670"/>
      <c r="G1670"/>
      <c r="H1670"/>
      <c r="I1670"/>
      <c r="J1670"/>
      <c r="K1670"/>
      <c r="L1670"/>
      <c r="M1670"/>
      <c r="N1670"/>
      <c r="O1670"/>
      <c r="P1670"/>
      <c r="Q1670"/>
      <c r="R1670"/>
      <c r="S1670"/>
    </row>
    <row r="1671" spans="1:19" x14ac:dyDescent="0.25">
      <c r="A1671"/>
      <c r="B1671"/>
      <c r="C1671"/>
      <c r="D1671"/>
      <c r="E1671"/>
      <c r="F1671"/>
      <c r="G1671"/>
      <c r="H1671"/>
      <c r="I1671"/>
      <c r="J1671"/>
      <c r="K1671"/>
      <c r="L1671"/>
      <c r="M1671"/>
      <c r="N1671"/>
      <c r="O1671"/>
      <c r="P1671"/>
      <c r="Q1671"/>
      <c r="R1671"/>
      <c r="S1671"/>
    </row>
    <row r="1672" spans="1:19" x14ac:dyDescent="0.25">
      <c r="A1672"/>
      <c r="B1672"/>
      <c r="C1672"/>
      <c r="D1672"/>
      <c r="E1672"/>
      <c r="F1672"/>
      <c r="G1672"/>
      <c r="H1672"/>
      <c r="I1672"/>
      <c r="J1672"/>
      <c r="K1672"/>
      <c r="L1672"/>
      <c r="M1672"/>
      <c r="N1672"/>
      <c r="O1672"/>
      <c r="P1672"/>
      <c r="Q1672"/>
      <c r="R1672"/>
      <c r="S1672"/>
    </row>
    <row r="1673" spans="1:19" x14ac:dyDescent="0.25">
      <c r="A1673"/>
      <c r="B1673"/>
      <c r="C1673"/>
      <c r="D1673"/>
      <c r="E1673"/>
      <c r="F1673"/>
      <c r="G1673"/>
      <c r="H1673"/>
      <c r="I1673"/>
      <c r="J1673"/>
      <c r="K1673"/>
      <c r="L1673"/>
      <c r="M1673"/>
      <c r="N1673"/>
      <c r="O1673"/>
      <c r="P1673"/>
      <c r="Q1673"/>
      <c r="R1673"/>
      <c r="S1673"/>
    </row>
    <row r="1674" spans="1:19" x14ac:dyDescent="0.25">
      <c r="A1674"/>
      <c r="B1674"/>
      <c r="C1674"/>
      <c r="D1674"/>
      <c r="E1674"/>
      <c r="F1674"/>
      <c r="G1674"/>
      <c r="H1674"/>
      <c r="I1674"/>
      <c r="J1674"/>
      <c r="K1674"/>
      <c r="L1674"/>
      <c r="M1674"/>
      <c r="N1674"/>
      <c r="O1674"/>
      <c r="P1674"/>
      <c r="Q1674"/>
      <c r="R1674"/>
      <c r="S1674"/>
    </row>
    <row r="1675" spans="1:19" x14ac:dyDescent="0.25">
      <c r="A1675"/>
      <c r="B1675"/>
      <c r="C1675"/>
      <c r="D1675"/>
      <c r="E1675"/>
      <c r="F1675"/>
      <c r="G1675"/>
      <c r="H1675"/>
      <c r="I1675"/>
      <c r="J1675"/>
      <c r="K1675"/>
      <c r="L1675"/>
      <c r="M1675"/>
      <c r="N1675"/>
      <c r="O1675"/>
      <c r="P1675"/>
      <c r="Q1675"/>
      <c r="R1675"/>
      <c r="S1675"/>
    </row>
    <row r="1676" spans="1:19" x14ac:dyDescent="0.25">
      <c r="A1676"/>
      <c r="B1676"/>
      <c r="C1676"/>
      <c r="D1676"/>
      <c r="E1676"/>
      <c r="F1676"/>
      <c r="G1676"/>
      <c r="H1676"/>
      <c r="I1676"/>
      <c r="J1676"/>
      <c r="K1676"/>
      <c r="L1676"/>
      <c r="M1676"/>
      <c r="N1676"/>
      <c r="O1676"/>
      <c r="P1676"/>
      <c r="Q1676"/>
      <c r="R1676"/>
      <c r="S1676"/>
    </row>
    <row r="1677" spans="1:19" x14ac:dyDescent="0.25">
      <c r="A1677"/>
      <c r="B1677"/>
      <c r="C1677"/>
      <c r="D1677"/>
      <c r="E1677"/>
      <c r="F1677"/>
      <c r="G1677"/>
      <c r="H1677"/>
      <c r="I1677"/>
      <c r="J1677"/>
      <c r="K1677"/>
      <c r="L1677"/>
      <c r="M1677"/>
      <c r="N1677"/>
      <c r="O1677"/>
      <c r="P1677"/>
      <c r="Q1677"/>
      <c r="R1677"/>
      <c r="S1677"/>
    </row>
    <row r="1678" spans="1:19" x14ac:dyDescent="0.25">
      <c r="A1678"/>
      <c r="B1678"/>
      <c r="C1678"/>
      <c r="D1678"/>
      <c r="E1678"/>
      <c r="F1678"/>
      <c r="G1678"/>
      <c r="H1678"/>
      <c r="I1678"/>
      <c r="J1678"/>
      <c r="K1678"/>
      <c r="L1678"/>
      <c r="M1678"/>
      <c r="N1678"/>
      <c r="O1678"/>
      <c r="P1678"/>
      <c r="Q1678"/>
      <c r="R1678"/>
      <c r="S1678"/>
    </row>
    <row r="1679" spans="1:19" x14ac:dyDescent="0.25">
      <c r="A1679"/>
      <c r="B1679"/>
      <c r="C1679"/>
      <c r="D1679"/>
      <c r="E1679"/>
      <c r="F1679"/>
      <c r="G1679"/>
      <c r="H1679"/>
      <c r="I1679"/>
      <c r="J1679"/>
      <c r="K1679"/>
      <c r="L1679"/>
      <c r="M1679"/>
      <c r="N1679"/>
      <c r="O1679"/>
      <c r="P1679"/>
      <c r="Q1679"/>
      <c r="R1679"/>
      <c r="S1679"/>
    </row>
    <row r="1680" spans="1:19" x14ac:dyDescent="0.25">
      <c r="A1680"/>
      <c r="B1680"/>
      <c r="C1680"/>
      <c r="D1680"/>
      <c r="E1680"/>
      <c r="F1680"/>
      <c r="G1680"/>
      <c r="H1680"/>
      <c r="I1680"/>
      <c r="J1680"/>
      <c r="K1680"/>
      <c r="L1680"/>
      <c r="M1680"/>
      <c r="N1680"/>
      <c r="O1680"/>
      <c r="P1680"/>
      <c r="Q1680"/>
      <c r="R1680"/>
      <c r="S1680"/>
    </row>
    <row r="1681" spans="1:19" x14ac:dyDescent="0.25">
      <c r="A1681"/>
      <c r="B1681"/>
      <c r="C1681"/>
      <c r="D1681"/>
      <c r="E1681"/>
      <c r="F1681"/>
      <c r="G1681"/>
      <c r="H1681"/>
      <c r="I1681"/>
      <c r="J1681"/>
      <c r="K1681"/>
      <c r="L1681"/>
      <c r="M1681"/>
      <c r="N1681"/>
      <c r="O1681"/>
      <c r="P1681"/>
      <c r="Q1681"/>
      <c r="R1681"/>
      <c r="S1681"/>
    </row>
    <row r="1682" spans="1:19" x14ac:dyDescent="0.25">
      <c r="A1682"/>
      <c r="B1682"/>
      <c r="C1682"/>
      <c r="D1682"/>
      <c r="E1682"/>
      <c r="F1682"/>
      <c r="G1682"/>
      <c r="H1682"/>
      <c r="I1682"/>
      <c r="J1682"/>
      <c r="K1682"/>
      <c r="L1682"/>
      <c r="M1682"/>
      <c r="N1682"/>
      <c r="O1682"/>
      <c r="P1682"/>
      <c r="Q1682"/>
      <c r="R1682"/>
      <c r="S1682"/>
    </row>
    <row r="1683" spans="1:19" x14ac:dyDescent="0.25">
      <c r="A1683"/>
      <c r="B1683"/>
      <c r="C1683"/>
      <c r="D1683"/>
      <c r="E1683"/>
      <c r="F1683"/>
      <c r="G1683"/>
      <c r="H1683"/>
      <c r="I1683"/>
      <c r="J1683"/>
      <c r="K1683"/>
      <c r="L1683"/>
      <c r="M1683"/>
      <c r="N1683"/>
      <c r="O1683"/>
      <c r="P1683"/>
      <c r="Q1683"/>
      <c r="R1683"/>
      <c r="S1683"/>
    </row>
    <row r="1684" spans="1:19" x14ac:dyDescent="0.25">
      <c r="A1684"/>
      <c r="B1684"/>
      <c r="C1684"/>
      <c r="D1684"/>
      <c r="E1684"/>
      <c r="F1684"/>
      <c r="G1684"/>
      <c r="H1684"/>
      <c r="I1684"/>
      <c r="J1684"/>
      <c r="K1684"/>
      <c r="L1684"/>
      <c r="M1684"/>
      <c r="N1684"/>
      <c r="O1684"/>
      <c r="P1684"/>
      <c r="Q1684"/>
      <c r="R1684"/>
      <c r="S1684"/>
    </row>
    <row r="1685" spans="1:19" x14ac:dyDescent="0.25">
      <c r="A1685"/>
      <c r="B1685"/>
      <c r="C1685"/>
      <c r="D1685"/>
      <c r="E1685"/>
      <c r="F1685"/>
      <c r="G1685"/>
      <c r="H1685"/>
      <c r="I1685"/>
      <c r="J1685"/>
      <c r="K1685"/>
      <c r="L1685"/>
      <c r="M1685"/>
      <c r="N1685"/>
      <c r="O1685"/>
      <c r="P1685"/>
      <c r="Q1685"/>
      <c r="R1685"/>
      <c r="S1685"/>
    </row>
    <row r="1686" spans="1:19" x14ac:dyDescent="0.25">
      <c r="A1686"/>
      <c r="B1686"/>
      <c r="C1686"/>
      <c r="D1686"/>
      <c r="E1686"/>
      <c r="F1686"/>
      <c r="G1686"/>
      <c r="H1686"/>
      <c r="I1686"/>
      <c r="J1686"/>
      <c r="K1686"/>
      <c r="L1686"/>
      <c r="M1686"/>
      <c r="N1686"/>
      <c r="O1686"/>
      <c r="P1686"/>
      <c r="Q1686"/>
      <c r="R1686"/>
      <c r="S1686"/>
    </row>
    <row r="1687" spans="1:19" x14ac:dyDescent="0.25">
      <c r="A1687"/>
      <c r="B1687"/>
      <c r="C1687"/>
      <c r="D1687"/>
      <c r="E1687"/>
      <c r="F1687"/>
      <c r="G1687"/>
      <c r="H1687"/>
      <c r="I1687"/>
      <c r="J1687"/>
      <c r="K1687"/>
      <c r="L1687"/>
      <c r="M1687"/>
      <c r="N1687"/>
      <c r="O1687"/>
      <c r="P1687"/>
      <c r="Q1687"/>
      <c r="R1687"/>
      <c r="S1687"/>
    </row>
    <row r="1688" spans="1:19" x14ac:dyDescent="0.25">
      <c r="A1688"/>
      <c r="B1688"/>
      <c r="C1688"/>
      <c r="D1688"/>
      <c r="E1688"/>
      <c r="F1688"/>
      <c r="G1688"/>
      <c r="H1688"/>
      <c r="I1688"/>
      <c r="J1688"/>
      <c r="K1688"/>
      <c r="L1688"/>
      <c r="M1688"/>
      <c r="N1688"/>
      <c r="O1688"/>
      <c r="P1688"/>
      <c r="Q1688"/>
      <c r="R1688"/>
      <c r="S1688"/>
    </row>
    <row r="1689" spans="1:19" x14ac:dyDescent="0.25">
      <c r="A1689"/>
      <c r="B1689"/>
      <c r="C1689"/>
      <c r="D1689"/>
      <c r="E1689"/>
      <c r="F1689"/>
      <c r="G1689"/>
      <c r="H1689"/>
      <c r="I1689"/>
      <c r="J1689"/>
      <c r="K1689"/>
      <c r="L1689"/>
      <c r="M1689"/>
      <c r="N1689"/>
      <c r="O1689"/>
      <c r="P1689"/>
      <c r="Q1689"/>
      <c r="R1689"/>
      <c r="S1689"/>
    </row>
    <row r="1690" spans="1:19" x14ac:dyDescent="0.25">
      <c r="A1690"/>
      <c r="B1690"/>
      <c r="C1690"/>
      <c r="D1690"/>
      <c r="E1690"/>
      <c r="F1690"/>
      <c r="G1690"/>
      <c r="H1690"/>
      <c r="I1690"/>
      <c r="J1690"/>
      <c r="K1690"/>
      <c r="L1690"/>
      <c r="M1690"/>
      <c r="N1690"/>
      <c r="O1690"/>
      <c r="P1690"/>
      <c r="Q1690"/>
      <c r="R1690"/>
      <c r="S1690"/>
    </row>
    <row r="1691" spans="1:19" x14ac:dyDescent="0.25">
      <c r="A1691"/>
      <c r="B1691"/>
      <c r="C1691"/>
      <c r="D1691"/>
      <c r="E1691"/>
      <c r="F1691"/>
      <c r="G1691"/>
      <c r="H1691"/>
      <c r="I1691"/>
      <c r="J1691"/>
      <c r="K1691"/>
      <c r="L1691"/>
      <c r="M1691"/>
      <c r="N1691"/>
      <c r="O1691"/>
      <c r="P1691"/>
      <c r="Q1691"/>
      <c r="R1691"/>
      <c r="S1691"/>
    </row>
    <row r="1692" spans="1:19" x14ac:dyDescent="0.25">
      <c r="A1692"/>
      <c r="B1692"/>
      <c r="C1692"/>
      <c r="D1692"/>
      <c r="E1692"/>
      <c r="F1692"/>
      <c r="G1692"/>
      <c r="H1692"/>
      <c r="I1692"/>
      <c r="J1692"/>
      <c r="K1692"/>
      <c r="L1692"/>
      <c r="M1692"/>
      <c r="N1692"/>
      <c r="O1692"/>
      <c r="P1692"/>
      <c r="Q1692"/>
      <c r="R1692"/>
      <c r="S1692"/>
    </row>
    <row r="1693" spans="1:19" x14ac:dyDescent="0.25">
      <c r="A1693"/>
      <c r="B1693"/>
      <c r="C1693"/>
      <c r="D1693"/>
      <c r="E1693"/>
      <c r="F1693"/>
      <c r="G1693"/>
      <c r="H1693"/>
      <c r="I1693"/>
      <c r="J1693"/>
      <c r="K1693"/>
      <c r="L1693"/>
      <c r="M1693"/>
      <c r="N1693"/>
      <c r="O1693"/>
      <c r="P1693"/>
      <c r="Q1693"/>
      <c r="R1693"/>
      <c r="S1693"/>
    </row>
    <row r="1694" spans="1:19" x14ac:dyDescent="0.25">
      <c r="A1694"/>
      <c r="B1694"/>
      <c r="C1694"/>
      <c r="D1694"/>
      <c r="E1694"/>
      <c r="F1694"/>
      <c r="G1694"/>
      <c r="H1694"/>
      <c r="I1694"/>
      <c r="J1694"/>
      <c r="K1694"/>
      <c r="L1694"/>
      <c r="M1694"/>
      <c r="N1694"/>
      <c r="O1694"/>
      <c r="P1694"/>
      <c r="Q1694"/>
      <c r="R1694"/>
      <c r="S1694"/>
    </row>
    <row r="1695" spans="1:19" x14ac:dyDescent="0.25">
      <c r="A1695"/>
      <c r="B1695"/>
      <c r="C1695"/>
      <c r="D1695"/>
      <c r="E1695"/>
      <c r="F1695"/>
      <c r="G1695"/>
      <c r="H1695"/>
      <c r="I1695"/>
      <c r="J1695"/>
      <c r="K1695"/>
      <c r="L1695"/>
      <c r="M1695"/>
      <c r="N1695"/>
      <c r="O1695"/>
      <c r="P1695"/>
      <c r="Q1695"/>
      <c r="R1695"/>
      <c r="S1695"/>
    </row>
    <row r="1696" spans="1:19" x14ac:dyDescent="0.25">
      <c r="A1696"/>
      <c r="B1696"/>
      <c r="C1696"/>
      <c r="D1696"/>
      <c r="E1696"/>
      <c r="F1696"/>
      <c r="G1696"/>
      <c r="H1696"/>
      <c r="I1696"/>
      <c r="J1696"/>
      <c r="K1696"/>
      <c r="L1696"/>
      <c r="M1696"/>
      <c r="N1696"/>
      <c r="O1696"/>
      <c r="P1696"/>
      <c r="Q1696"/>
      <c r="R1696"/>
      <c r="S1696"/>
    </row>
    <row r="1697" spans="1:19" x14ac:dyDescent="0.25">
      <c r="A1697"/>
      <c r="B1697"/>
      <c r="C1697"/>
      <c r="D1697"/>
      <c r="E1697"/>
      <c r="F1697"/>
      <c r="G1697"/>
      <c r="H1697"/>
      <c r="I1697"/>
      <c r="J1697"/>
      <c r="K1697"/>
      <c r="L1697"/>
      <c r="M1697"/>
      <c r="N1697"/>
      <c r="O1697"/>
      <c r="P1697"/>
      <c r="Q1697"/>
      <c r="R1697"/>
      <c r="S1697"/>
    </row>
    <row r="1698" spans="1:19" x14ac:dyDescent="0.25">
      <c r="A1698"/>
      <c r="B1698"/>
      <c r="C1698"/>
      <c r="D1698"/>
      <c r="E1698"/>
      <c r="F1698"/>
      <c r="G1698"/>
      <c r="H1698"/>
      <c r="I1698"/>
      <c r="J1698"/>
      <c r="K1698"/>
      <c r="L1698"/>
      <c r="M1698"/>
      <c r="N1698"/>
      <c r="O1698"/>
      <c r="P1698"/>
      <c r="Q1698"/>
      <c r="R1698"/>
      <c r="S1698"/>
    </row>
    <row r="1699" spans="1:19" x14ac:dyDescent="0.25">
      <c r="A1699"/>
      <c r="B1699"/>
      <c r="C1699"/>
      <c r="D1699"/>
      <c r="E1699"/>
      <c r="F1699"/>
      <c r="G1699"/>
      <c r="H1699"/>
      <c r="I1699"/>
      <c r="J1699"/>
      <c r="K1699"/>
      <c r="L1699"/>
      <c r="M1699"/>
      <c r="N1699"/>
      <c r="O1699"/>
      <c r="P1699"/>
      <c r="Q1699"/>
      <c r="R1699"/>
      <c r="S1699"/>
    </row>
    <row r="1700" spans="1:19" x14ac:dyDescent="0.25">
      <c r="A1700"/>
      <c r="B1700"/>
      <c r="C1700"/>
      <c r="D1700"/>
      <c r="E1700"/>
      <c r="F1700"/>
      <c r="G1700"/>
      <c r="H1700"/>
      <c r="I1700"/>
      <c r="J1700"/>
      <c r="K1700"/>
      <c r="L1700"/>
      <c r="M1700"/>
      <c r="N1700"/>
      <c r="O1700"/>
      <c r="P1700"/>
      <c r="Q1700"/>
      <c r="R1700"/>
      <c r="S1700"/>
    </row>
    <row r="1701" spans="1:19" x14ac:dyDescent="0.25">
      <c r="A1701"/>
      <c r="B1701"/>
      <c r="C1701"/>
      <c r="D1701"/>
      <c r="E1701"/>
      <c r="F1701"/>
      <c r="G1701"/>
      <c r="H1701"/>
      <c r="I1701"/>
      <c r="J1701"/>
      <c r="K1701"/>
      <c r="L1701"/>
      <c r="M1701"/>
      <c r="N1701"/>
      <c r="O1701"/>
      <c r="P1701"/>
      <c r="Q1701"/>
      <c r="R1701"/>
      <c r="S1701"/>
    </row>
    <row r="1702" spans="1:19" x14ac:dyDescent="0.25">
      <c r="A1702"/>
      <c r="B1702"/>
      <c r="C1702"/>
      <c r="D1702"/>
      <c r="E1702"/>
      <c r="F1702"/>
      <c r="G1702"/>
      <c r="H1702"/>
      <c r="I1702"/>
      <c r="J1702"/>
      <c r="K1702"/>
      <c r="L1702"/>
      <c r="M1702"/>
      <c r="N1702"/>
      <c r="O1702"/>
      <c r="P1702"/>
      <c r="Q1702"/>
      <c r="R1702"/>
      <c r="S1702"/>
    </row>
    <row r="1703" spans="1:19" x14ac:dyDescent="0.25">
      <c r="A1703"/>
      <c r="B1703"/>
      <c r="C1703"/>
      <c r="D1703"/>
      <c r="E1703"/>
      <c r="F1703"/>
      <c r="G1703"/>
      <c r="H1703"/>
      <c r="I1703"/>
      <c r="J1703"/>
      <c r="K1703"/>
      <c r="L1703"/>
      <c r="M1703"/>
      <c r="N1703"/>
      <c r="O1703"/>
      <c r="P1703"/>
      <c r="Q1703"/>
      <c r="R1703"/>
      <c r="S1703"/>
    </row>
    <row r="1704" spans="1:19" x14ac:dyDescent="0.25">
      <c r="A1704"/>
      <c r="B1704"/>
      <c r="C1704"/>
      <c r="D1704"/>
      <c r="E1704"/>
      <c r="F1704"/>
      <c r="G1704"/>
      <c r="H1704"/>
      <c r="I1704"/>
      <c r="J1704"/>
      <c r="K1704"/>
      <c r="L1704"/>
      <c r="M1704"/>
      <c r="N1704"/>
      <c r="O1704"/>
      <c r="P1704"/>
      <c r="Q1704"/>
      <c r="R1704"/>
      <c r="S1704"/>
    </row>
    <row r="1705" spans="1:19" x14ac:dyDescent="0.25">
      <c r="A1705"/>
      <c r="B1705"/>
      <c r="C1705"/>
      <c r="D1705"/>
      <c r="E1705"/>
      <c r="F1705"/>
      <c r="G1705"/>
      <c r="H1705"/>
      <c r="I1705"/>
      <c r="J1705"/>
      <c r="K1705"/>
      <c r="L1705"/>
      <c r="M1705"/>
      <c r="N1705"/>
      <c r="O1705"/>
      <c r="P1705"/>
      <c r="Q1705"/>
      <c r="R1705"/>
      <c r="S1705"/>
    </row>
    <row r="1706" spans="1:19" x14ac:dyDescent="0.25">
      <c r="A1706"/>
      <c r="B1706"/>
      <c r="C1706"/>
      <c r="D1706"/>
      <c r="E1706"/>
      <c r="F1706"/>
      <c r="G1706"/>
      <c r="H1706"/>
      <c r="I1706"/>
      <c r="J1706"/>
      <c r="K1706"/>
      <c r="L1706"/>
      <c r="M1706"/>
      <c r="N1706"/>
      <c r="O1706"/>
      <c r="P1706"/>
      <c r="Q1706"/>
      <c r="R1706"/>
      <c r="S1706"/>
    </row>
    <row r="1707" spans="1:19" x14ac:dyDescent="0.25">
      <c r="A1707"/>
      <c r="B1707"/>
      <c r="C1707"/>
      <c r="D1707"/>
      <c r="E1707"/>
      <c r="F1707"/>
      <c r="G1707"/>
      <c r="H1707"/>
      <c r="I1707"/>
      <c r="J1707"/>
      <c r="K1707"/>
      <c r="L1707"/>
      <c r="M1707"/>
      <c r="N1707"/>
      <c r="O1707"/>
      <c r="P1707"/>
      <c r="Q1707"/>
      <c r="R1707"/>
      <c r="S1707"/>
    </row>
    <row r="1708" spans="1:19" x14ac:dyDescent="0.25">
      <c r="A1708"/>
      <c r="B1708"/>
      <c r="C1708"/>
      <c r="D1708"/>
      <c r="E1708"/>
      <c r="F1708"/>
      <c r="G1708"/>
      <c r="H1708"/>
      <c r="I1708"/>
      <c r="J1708"/>
      <c r="K1708"/>
      <c r="L1708"/>
      <c r="M1708"/>
      <c r="N1708"/>
      <c r="O1708"/>
      <c r="P1708"/>
      <c r="Q1708"/>
      <c r="R1708"/>
      <c r="S1708"/>
    </row>
    <row r="1709" spans="1:19" x14ac:dyDescent="0.25">
      <c r="A1709"/>
      <c r="B1709"/>
      <c r="C1709"/>
      <c r="D1709"/>
      <c r="E1709"/>
      <c r="F1709"/>
      <c r="G1709"/>
      <c r="H1709"/>
      <c r="I1709"/>
      <c r="J1709"/>
      <c r="K1709"/>
      <c r="L1709"/>
      <c r="M1709"/>
      <c r="N1709"/>
      <c r="O1709"/>
      <c r="P1709"/>
      <c r="Q1709"/>
      <c r="R1709"/>
      <c r="S1709"/>
    </row>
    <row r="1710" spans="1:19" x14ac:dyDescent="0.25">
      <c r="A1710"/>
      <c r="B1710"/>
      <c r="C1710"/>
      <c r="D1710"/>
      <c r="E1710"/>
      <c r="F1710"/>
      <c r="G1710"/>
      <c r="H1710"/>
      <c r="I1710"/>
      <c r="J1710"/>
      <c r="K1710"/>
      <c r="L1710"/>
      <c r="M1710"/>
      <c r="N1710"/>
      <c r="O1710"/>
      <c r="P1710"/>
      <c r="Q1710"/>
      <c r="R1710"/>
      <c r="S1710"/>
    </row>
    <row r="1711" spans="1:19" x14ac:dyDescent="0.25">
      <c r="A1711"/>
      <c r="B1711"/>
      <c r="C1711"/>
      <c r="D1711"/>
      <c r="E1711"/>
      <c r="F1711"/>
      <c r="G1711"/>
      <c r="H1711"/>
      <c r="I1711"/>
      <c r="J1711"/>
      <c r="K1711"/>
      <c r="L1711"/>
      <c r="M1711"/>
      <c r="N1711"/>
      <c r="O1711"/>
      <c r="P1711"/>
      <c r="Q1711"/>
      <c r="R1711"/>
      <c r="S1711"/>
    </row>
    <row r="1712" spans="1:19" x14ac:dyDescent="0.25">
      <c r="A1712"/>
      <c r="B1712"/>
      <c r="C1712"/>
      <c r="D1712"/>
      <c r="E1712"/>
      <c r="F1712"/>
      <c r="G1712"/>
      <c r="H1712"/>
      <c r="I1712"/>
      <c r="J1712"/>
      <c r="K1712"/>
      <c r="L1712"/>
      <c r="M1712"/>
      <c r="N1712"/>
      <c r="O1712"/>
      <c r="P1712"/>
      <c r="Q1712"/>
      <c r="R1712"/>
      <c r="S1712"/>
    </row>
    <row r="1713" spans="1:19" x14ac:dyDescent="0.25">
      <c r="A1713"/>
      <c r="B1713"/>
      <c r="C1713"/>
      <c r="D1713"/>
      <c r="E1713"/>
      <c r="F1713"/>
      <c r="G1713"/>
      <c r="H1713"/>
      <c r="I1713"/>
      <c r="J1713"/>
      <c r="K1713"/>
      <c r="L1713"/>
      <c r="M1713"/>
      <c r="N1713"/>
      <c r="O1713"/>
      <c r="P1713"/>
      <c r="Q1713"/>
      <c r="R1713"/>
      <c r="S1713"/>
    </row>
    <row r="1714" spans="1:19" x14ac:dyDescent="0.25">
      <c r="A1714"/>
      <c r="B1714"/>
      <c r="C1714"/>
      <c r="D1714"/>
      <c r="E1714"/>
      <c r="F1714"/>
      <c r="G1714"/>
      <c r="H1714"/>
      <c r="I1714"/>
      <c r="J1714"/>
      <c r="K1714"/>
      <c r="L1714"/>
      <c r="M1714"/>
      <c r="N1714"/>
      <c r="O1714"/>
      <c r="P1714"/>
      <c r="Q1714"/>
      <c r="R1714"/>
      <c r="S1714"/>
    </row>
    <row r="1715" spans="1:19" x14ac:dyDescent="0.25">
      <c r="A1715"/>
      <c r="B1715"/>
      <c r="C1715"/>
      <c r="D1715"/>
      <c r="E1715"/>
      <c r="F1715"/>
      <c r="G1715"/>
      <c r="H1715"/>
      <c r="I1715"/>
      <c r="J1715"/>
      <c r="K1715"/>
      <c r="L1715"/>
      <c r="M1715"/>
      <c r="N1715"/>
      <c r="O1715"/>
      <c r="P1715"/>
      <c r="Q1715"/>
      <c r="R1715"/>
      <c r="S1715"/>
    </row>
    <row r="1716" spans="1:19" x14ac:dyDescent="0.25">
      <c r="A1716"/>
      <c r="B1716"/>
      <c r="C1716"/>
      <c r="D1716"/>
      <c r="E1716"/>
      <c r="F1716"/>
      <c r="G1716"/>
      <c r="H1716"/>
      <c r="I1716"/>
      <c r="J1716"/>
      <c r="K1716"/>
      <c r="L1716"/>
      <c r="M1716"/>
      <c r="N1716"/>
      <c r="O1716"/>
      <c r="P1716"/>
      <c r="Q1716"/>
      <c r="R1716"/>
      <c r="S1716"/>
    </row>
    <row r="1717" spans="1:19" x14ac:dyDescent="0.25">
      <c r="A1717"/>
      <c r="B1717"/>
      <c r="C1717"/>
      <c r="D1717"/>
      <c r="E1717"/>
      <c r="F1717"/>
      <c r="G1717"/>
      <c r="H1717"/>
      <c r="I1717"/>
      <c r="J1717"/>
      <c r="K1717"/>
      <c r="L1717"/>
      <c r="M1717"/>
      <c r="N1717"/>
      <c r="O1717"/>
      <c r="P1717"/>
      <c r="Q1717"/>
      <c r="R1717"/>
      <c r="S1717"/>
    </row>
    <row r="1718" spans="1:19" x14ac:dyDescent="0.25">
      <c r="A1718"/>
      <c r="B1718"/>
      <c r="C1718"/>
      <c r="D1718"/>
      <c r="E1718"/>
      <c r="F1718"/>
      <c r="G1718"/>
      <c r="H1718"/>
      <c r="I1718"/>
      <c r="J1718"/>
      <c r="K1718"/>
      <c r="L1718"/>
      <c r="M1718"/>
      <c r="N1718"/>
      <c r="O1718"/>
      <c r="P1718"/>
      <c r="Q1718"/>
      <c r="R1718"/>
      <c r="S1718"/>
    </row>
    <row r="1719" spans="1:19" x14ac:dyDescent="0.25">
      <c r="A1719"/>
      <c r="B1719"/>
      <c r="C1719"/>
      <c r="D1719"/>
      <c r="E1719"/>
      <c r="F1719"/>
      <c r="G1719"/>
      <c r="H1719"/>
      <c r="I1719"/>
      <c r="J1719"/>
      <c r="K1719"/>
      <c r="L1719"/>
      <c r="M1719"/>
      <c r="N1719"/>
      <c r="O1719"/>
      <c r="P1719"/>
      <c r="Q1719"/>
      <c r="R1719"/>
      <c r="S1719"/>
    </row>
    <row r="1720" spans="1:19" x14ac:dyDescent="0.25">
      <c r="A1720"/>
      <c r="B1720"/>
      <c r="C1720"/>
      <c r="D1720"/>
      <c r="E1720"/>
      <c r="F1720"/>
      <c r="G1720"/>
      <c r="H1720"/>
      <c r="I1720"/>
      <c r="J1720"/>
      <c r="K1720"/>
      <c r="L1720"/>
      <c r="M1720"/>
      <c r="N1720"/>
      <c r="O1720"/>
      <c r="P1720"/>
      <c r="Q1720"/>
      <c r="R1720"/>
      <c r="S1720"/>
    </row>
    <row r="1721" spans="1:19" x14ac:dyDescent="0.25">
      <c r="A1721"/>
      <c r="B1721"/>
      <c r="C1721"/>
      <c r="D1721"/>
      <c r="E1721"/>
      <c r="F1721"/>
      <c r="G1721"/>
      <c r="H1721"/>
      <c r="I1721"/>
      <c r="J1721"/>
      <c r="K1721"/>
      <c r="L1721"/>
      <c r="M1721"/>
      <c r="N1721"/>
      <c r="O1721"/>
      <c r="P1721"/>
      <c r="Q1721"/>
      <c r="R1721"/>
      <c r="S1721"/>
    </row>
    <row r="1722" spans="1:19" x14ac:dyDescent="0.25">
      <c r="A1722"/>
      <c r="B1722"/>
      <c r="C1722"/>
      <c r="D1722"/>
      <c r="E1722"/>
      <c r="F1722"/>
      <c r="G1722"/>
      <c r="H1722"/>
      <c r="I1722"/>
      <c r="J1722"/>
      <c r="K1722"/>
      <c r="L1722"/>
      <c r="M1722"/>
      <c r="N1722"/>
      <c r="O1722"/>
      <c r="P1722"/>
      <c r="Q1722"/>
      <c r="R1722"/>
      <c r="S1722"/>
    </row>
    <row r="1723" spans="1:19" x14ac:dyDescent="0.25">
      <c r="A1723"/>
      <c r="B1723"/>
      <c r="C1723"/>
      <c r="D1723"/>
      <c r="E1723"/>
      <c r="F1723"/>
      <c r="G1723"/>
      <c r="H1723"/>
      <c r="I1723"/>
      <c r="J1723"/>
      <c r="K1723"/>
      <c r="L1723"/>
      <c r="M1723"/>
      <c r="N1723"/>
      <c r="O1723"/>
      <c r="P1723"/>
      <c r="Q1723"/>
      <c r="R1723"/>
      <c r="S1723"/>
    </row>
    <row r="1724" spans="1:19" x14ac:dyDescent="0.25">
      <c r="A1724"/>
      <c r="B1724"/>
      <c r="C1724"/>
      <c r="D1724"/>
      <c r="E1724"/>
      <c r="F1724"/>
      <c r="G1724"/>
      <c r="H1724"/>
      <c r="I1724"/>
      <c r="J1724"/>
      <c r="K1724"/>
      <c r="L1724"/>
      <c r="M1724"/>
      <c r="N1724"/>
      <c r="O1724"/>
      <c r="P1724"/>
      <c r="Q1724"/>
      <c r="R1724"/>
      <c r="S1724"/>
    </row>
    <row r="1725" spans="1:19" x14ac:dyDescent="0.25">
      <c r="A1725"/>
      <c r="B1725"/>
      <c r="C1725"/>
      <c r="D1725"/>
      <c r="E1725"/>
      <c r="F1725"/>
      <c r="G1725"/>
      <c r="H1725"/>
      <c r="I1725"/>
      <c r="J1725"/>
      <c r="K1725"/>
      <c r="L1725"/>
      <c r="M1725"/>
      <c r="N1725"/>
      <c r="O1725"/>
      <c r="P1725"/>
      <c r="Q1725"/>
      <c r="R1725"/>
      <c r="S1725"/>
    </row>
    <row r="1726" spans="1:19" x14ac:dyDescent="0.25">
      <c r="A1726"/>
      <c r="B1726"/>
      <c r="C1726"/>
      <c r="D1726"/>
      <c r="E1726"/>
      <c r="F1726"/>
      <c r="G1726"/>
      <c r="H1726"/>
      <c r="I1726"/>
      <c r="J1726"/>
      <c r="K1726"/>
      <c r="L1726"/>
      <c r="M1726"/>
      <c r="N1726"/>
      <c r="O1726"/>
      <c r="P1726"/>
      <c r="Q1726"/>
      <c r="R1726"/>
      <c r="S1726"/>
    </row>
    <row r="1727" spans="1:19" x14ac:dyDescent="0.25">
      <c r="A1727"/>
      <c r="B1727"/>
      <c r="C1727"/>
      <c r="D1727"/>
      <c r="E1727"/>
      <c r="F1727"/>
      <c r="G1727"/>
      <c r="H1727"/>
      <c r="I1727"/>
      <c r="J1727"/>
      <c r="K1727"/>
      <c r="L1727"/>
      <c r="M1727"/>
      <c r="N1727"/>
      <c r="O1727"/>
      <c r="P1727"/>
      <c r="Q1727"/>
      <c r="R1727"/>
      <c r="S1727"/>
    </row>
    <row r="1728" spans="1:19" x14ac:dyDescent="0.25">
      <c r="A1728"/>
      <c r="B1728"/>
      <c r="C1728"/>
      <c r="D1728"/>
      <c r="E1728"/>
      <c r="F1728"/>
      <c r="G1728"/>
      <c r="H1728"/>
      <c r="I1728"/>
      <c r="J1728"/>
      <c r="K1728"/>
      <c r="L1728"/>
      <c r="M1728"/>
      <c r="N1728"/>
      <c r="O1728"/>
      <c r="P1728"/>
      <c r="Q1728"/>
      <c r="R1728"/>
      <c r="S1728"/>
    </row>
    <row r="1729" spans="1:19" x14ac:dyDescent="0.25">
      <c r="A1729"/>
      <c r="B1729"/>
      <c r="C1729"/>
      <c r="D1729"/>
      <c r="E1729"/>
      <c r="F1729"/>
      <c r="G1729"/>
      <c r="H1729"/>
      <c r="I1729"/>
      <c r="J1729"/>
      <c r="K1729"/>
      <c r="L1729"/>
      <c r="M1729"/>
      <c r="N1729"/>
      <c r="O1729"/>
      <c r="P1729"/>
      <c r="Q1729"/>
      <c r="R1729"/>
      <c r="S1729"/>
    </row>
    <row r="1730" spans="1:19" x14ac:dyDescent="0.25">
      <c r="A1730"/>
      <c r="B1730"/>
      <c r="C1730"/>
      <c r="D1730"/>
      <c r="E1730"/>
      <c r="F1730"/>
      <c r="G1730"/>
      <c r="H1730"/>
      <c r="I1730"/>
      <c r="J1730"/>
      <c r="K1730"/>
      <c r="L1730"/>
      <c r="M1730"/>
      <c r="N1730"/>
      <c r="O1730"/>
      <c r="P1730"/>
      <c r="Q1730"/>
      <c r="R1730"/>
      <c r="S1730"/>
    </row>
    <row r="1731" spans="1:19" x14ac:dyDescent="0.25">
      <c r="A1731"/>
      <c r="B1731"/>
      <c r="C1731"/>
      <c r="D1731"/>
      <c r="E1731"/>
      <c r="F1731"/>
      <c r="G1731"/>
      <c r="H1731"/>
      <c r="I1731"/>
      <c r="J1731"/>
      <c r="K1731"/>
      <c r="L1731"/>
      <c r="M1731"/>
      <c r="N1731"/>
      <c r="O1731"/>
      <c r="P1731"/>
      <c r="Q1731"/>
      <c r="R1731"/>
      <c r="S1731"/>
    </row>
    <row r="1732" spans="1:19" x14ac:dyDescent="0.25">
      <c r="A1732"/>
      <c r="B1732"/>
      <c r="C1732"/>
      <c r="D1732"/>
      <c r="E1732"/>
      <c r="F1732"/>
      <c r="G1732"/>
      <c r="H1732"/>
      <c r="I1732"/>
      <c r="J1732"/>
      <c r="K1732"/>
      <c r="L1732"/>
      <c r="M1732"/>
      <c r="N1732"/>
      <c r="O1732"/>
      <c r="P1732"/>
      <c r="Q1732"/>
      <c r="R1732"/>
      <c r="S1732"/>
    </row>
    <row r="1733" spans="1:19" x14ac:dyDescent="0.25">
      <c r="A1733"/>
      <c r="B1733"/>
      <c r="C1733"/>
      <c r="D1733"/>
      <c r="E1733"/>
      <c r="F1733"/>
      <c r="G1733"/>
      <c r="H1733"/>
      <c r="I1733"/>
      <c r="J1733"/>
      <c r="K1733"/>
      <c r="L1733"/>
      <c r="M1733"/>
      <c r="N1733"/>
      <c r="O1733"/>
      <c r="P1733"/>
      <c r="Q1733"/>
      <c r="R1733"/>
      <c r="S1733"/>
    </row>
    <row r="1734" spans="1:19" x14ac:dyDescent="0.25">
      <c r="A1734"/>
      <c r="B1734"/>
      <c r="C1734"/>
      <c r="D1734"/>
      <c r="E1734"/>
      <c r="F1734"/>
      <c r="G1734"/>
      <c r="H1734"/>
      <c r="I1734"/>
      <c r="J1734"/>
      <c r="K1734"/>
      <c r="L1734"/>
      <c r="M1734"/>
      <c r="N1734"/>
      <c r="O1734"/>
      <c r="P1734"/>
      <c r="Q1734"/>
      <c r="R1734"/>
      <c r="S1734"/>
    </row>
    <row r="1735" spans="1:19" x14ac:dyDescent="0.25">
      <c r="A1735"/>
      <c r="B1735"/>
      <c r="C1735"/>
      <c r="D1735"/>
      <c r="E1735"/>
      <c r="F1735"/>
      <c r="G1735"/>
      <c r="H1735"/>
      <c r="I1735"/>
      <c r="J1735"/>
      <c r="K1735"/>
      <c r="L1735"/>
      <c r="M1735"/>
      <c r="N1735"/>
      <c r="O1735"/>
      <c r="P1735"/>
      <c r="Q1735"/>
      <c r="R1735"/>
      <c r="S1735"/>
    </row>
    <row r="1736" spans="1:19" x14ac:dyDescent="0.25">
      <c r="A1736"/>
      <c r="B1736"/>
      <c r="C1736"/>
      <c r="D1736"/>
      <c r="E1736"/>
      <c r="F1736"/>
      <c r="G1736"/>
      <c r="H1736"/>
      <c r="I1736"/>
      <c r="J1736"/>
      <c r="K1736"/>
      <c r="L1736"/>
      <c r="M1736"/>
      <c r="N1736"/>
      <c r="O1736"/>
      <c r="P1736"/>
      <c r="Q1736"/>
      <c r="R1736"/>
      <c r="S1736"/>
    </row>
    <row r="1737" spans="1:19" x14ac:dyDescent="0.25">
      <c r="A1737"/>
      <c r="B1737"/>
      <c r="C1737"/>
      <c r="D1737"/>
      <c r="E1737"/>
      <c r="F1737"/>
      <c r="G1737"/>
      <c r="H1737"/>
      <c r="I1737"/>
      <c r="J1737"/>
      <c r="K1737"/>
      <c r="L1737"/>
      <c r="M1737"/>
      <c r="N1737"/>
      <c r="O1737"/>
      <c r="P1737"/>
      <c r="Q1737"/>
      <c r="R1737"/>
      <c r="S1737"/>
    </row>
    <row r="1738" spans="1:19" x14ac:dyDescent="0.25">
      <c r="A1738"/>
      <c r="B1738"/>
      <c r="C1738"/>
      <c r="D1738"/>
      <c r="E1738"/>
      <c r="F1738"/>
      <c r="G1738"/>
      <c r="H1738"/>
      <c r="I1738"/>
      <c r="J1738"/>
      <c r="K1738"/>
      <c r="L1738"/>
      <c r="M1738"/>
      <c r="N1738"/>
      <c r="O1738"/>
      <c r="P1738"/>
      <c r="Q1738"/>
      <c r="R1738"/>
      <c r="S1738"/>
    </row>
    <row r="1739" spans="1:19" x14ac:dyDescent="0.25">
      <c r="A1739"/>
      <c r="B1739"/>
      <c r="C1739"/>
      <c r="D1739"/>
      <c r="E1739"/>
      <c r="F1739"/>
      <c r="G1739"/>
      <c r="H1739"/>
      <c r="I1739"/>
      <c r="J1739"/>
      <c r="K1739"/>
      <c r="L1739"/>
      <c r="M1739"/>
      <c r="N1739"/>
      <c r="O1739"/>
      <c r="P1739"/>
      <c r="Q1739"/>
      <c r="R1739"/>
      <c r="S1739"/>
    </row>
    <row r="1740" spans="1:19" x14ac:dyDescent="0.25">
      <c r="A1740"/>
      <c r="B1740"/>
      <c r="C1740"/>
      <c r="D1740"/>
      <c r="E1740"/>
      <c r="F1740"/>
      <c r="G1740"/>
      <c r="H1740"/>
      <c r="I1740"/>
      <c r="J1740"/>
      <c r="K1740"/>
      <c r="L1740"/>
      <c r="M1740"/>
      <c r="N1740"/>
      <c r="O1740"/>
      <c r="P1740"/>
      <c r="Q1740"/>
      <c r="R1740"/>
      <c r="S1740"/>
    </row>
    <row r="1741" spans="1:19" x14ac:dyDescent="0.25">
      <c r="A1741"/>
      <c r="B1741"/>
      <c r="C1741"/>
      <c r="D1741"/>
      <c r="E1741"/>
      <c r="F1741"/>
      <c r="G1741"/>
      <c r="H1741"/>
      <c r="I1741"/>
      <c r="J1741"/>
      <c r="K1741"/>
      <c r="L1741"/>
      <c r="M1741"/>
      <c r="N1741"/>
      <c r="O1741"/>
      <c r="P1741"/>
      <c r="Q1741"/>
      <c r="R1741"/>
      <c r="S1741"/>
    </row>
    <row r="1742" spans="1:19" x14ac:dyDescent="0.25">
      <c r="A1742"/>
      <c r="B1742"/>
      <c r="C1742"/>
      <c r="D1742"/>
      <c r="E1742"/>
      <c r="F1742"/>
      <c r="G1742"/>
      <c r="H1742"/>
      <c r="I1742"/>
      <c r="J1742"/>
      <c r="K1742"/>
      <c r="L1742"/>
      <c r="M1742"/>
      <c r="N1742"/>
      <c r="O1742"/>
      <c r="P1742"/>
      <c r="Q1742"/>
      <c r="R1742"/>
      <c r="S1742"/>
    </row>
    <row r="1743" spans="1:19" x14ac:dyDescent="0.25">
      <c r="A1743"/>
      <c r="B1743"/>
      <c r="C1743"/>
      <c r="D1743"/>
      <c r="E1743"/>
      <c r="F1743"/>
      <c r="G1743"/>
      <c r="H1743"/>
      <c r="I1743"/>
      <c r="J1743"/>
      <c r="K1743"/>
      <c r="L1743"/>
      <c r="M1743"/>
      <c r="N1743"/>
      <c r="O1743"/>
      <c r="P1743"/>
      <c r="Q1743"/>
      <c r="R1743"/>
      <c r="S1743"/>
    </row>
    <row r="1744" spans="1:19" x14ac:dyDescent="0.25">
      <c r="A1744"/>
      <c r="B1744"/>
      <c r="C1744"/>
      <c r="D1744"/>
      <c r="E1744"/>
      <c r="F1744"/>
      <c r="G1744"/>
      <c r="H1744"/>
      <c r="I1744"/>
      <c r="J1744"/>
      <c r="K1744"/>
      <c r="L1744"/>
      <c r="M1744"/>
      <c r="N1744"/>
      <c r="O1744"/>
      <c r="P1744"/>
      <c r="Q1744"/>
      <c r="R1744"/>
      <c r="S1744"/>
    </row>
    <row r="1745" spans="1:19" x14ac:dyDescent="0.25">
      <c r="A1745"/>
      <c r="B1745"/>
      <c r="C1745"/>
      <c r="D1745"/>
      <c r="E1745"/>
      <c r="F1745"/>
      <c r="G1745"/>
      <c r="H1745"/>
      <c r="I1745"/>
      <c r="J1745"/>
      <c r="K1745"/>
      <c r="L1745"/>
      <c r="M1745"/>
      <c r="N1745"/>
      <c r="O1745"/>
      <c r="P1745"/>
      <c r="Q1745"/>
      <c r="R1745"/>
      <c r="S1745"/>
    </row>
    <row r="1746" spans="1:19" x14ac:dyDescent="0.25">
      <c r="A1746"/>
      <c r="B1746"/>
      <c r="C1746"/>
      <c r="D1746"/>
      <c r="E1746"/>
      <c r="F1746"/>
      <c r="G1746"/>
      <c r="H1746"/>
      <c r="I1746"/>
      <c r="J1746"/>
      <c r="K1746"/>
      <c r="L1746"/>
      <c r="M1746"/>
      <c r="N1746"/>
      <c r="O1746"/>
      <c r="P1746"/>
      <c r="Q1746"/>
      <c r="R1746"/>
      <c r="S1746"/>
    </row>
    <row r="1747" spans="1:19" x14ac:dyDescent="0.25">
      <c r="A1747"/>
      <c r="B1747"/>
      <c r="C1747"/>
      <c r="D1747"/>
      <c r="E1747"/>
      <c r="F1747"/>
      <c r="G1747"/>
      <c r="H1747"/>
      <c r="I1747"/>
      <c r="J1747"/>
      <c r="K1747"/>
      <c r="L1747"/>
      <c r="M1747"/>
      <c r="N1747"/>
      <c r="O1747"/>
      <c r="P1747"/>
      <c r="Q1747"/>
      <c r="R1747"/>
      <c r="S1747"/>
    </row>
    <row r="1748" spans="1:19" x14ac:dyDescent="0.25">
      <c r="A1748"/>
      <c r="B1748"/>
      <c r="C1748"/>
      <c r="D1748"/>
      <c r="E1748"/>
      <c r="F1748"/>
      <c r="G1748"/>
      <c r="H1748"/>
      <c r="I1748"/>
      <c r="J1748"/>
      <c r="K1748"/>
      <c r="L1748"/>
      <c r="M1748"/>
      <c r="N1748"/>
      <c r="O1748"/>
      <c r="P1748"/>
      <c r="Q1748"/>
      <c r="R1748"/>
      <c r="S1748"/>
    </row>
    <row r="1749" spans="1:19" x14ac:dyDescent="0.25">
      <c r="A1749"/>
      <c r="B1749"/>
      <c r="C1749"/>
      <c r="D1749"/>
      <c r="E1749"/>
      <c r="F1749"/>
      <c r="G1749"/>
      <c r="H1749"/>
      <c r="I1749"/>
      <c r="J1749"/>
      <c r="K1749"/>
      <c r="L1749"/>
      <c r="M1749"/>
      <c r="N1749"/>
      <c r="O1749"/>
      <c r="P1749"/>
      <c r="Q1749"/>
      <c r="R1749"/>
      <c r="S1749"/>
    </row>
    <row r="1750" spans="1:19" x14ac:dyDescent="0.25">
      <c r="A1750"/>
      <c r="B1750"/>
      <c r="C1750"/>
      <c r="D1750"/>
      <c r="E1750"/>
      <c r="F1750"/>
      <c r="G1750"/>
      <c r="H1750"/>
      <c r="I1750"/>
      <c r="J1750"/>
      <c r="K1750"/>
      <c r="L1750"/>
      <c r="M1750"/>
      <c r="N1750"/>
      <c r="O1750"/>
      <c r="P1750"/>
      <c r="Q1750"/>
      <c r="R1750"/>
      <c r="S1750"/>
    </row>
    <row r="1751" spans="1:19" x14ac:dyDescent="0.25">
      <c r="A1751"/>
      <c r="B1751"/>
      <c r="C1751"/>
      <c r="D1751"/>
      <c r="E1751"/>
      <c r="F1751"/>
      <c r="G1751"/>
      <c r="H1751"/>
      <c r="I1751"/>
      <c r="J1751"/>
      <c r="K1751"/>
      <c r="L1751"/>
      <c r="M1751"/>
      <c r="N1751"/>
      <c r="O1751"/>
      <c r="P1751"/>
      <c r="Q1751"/>
      <c r="R1751"/>
      <c r="S1751"/>
    </row>
    <row r="1752" spans="1:19" x14ac:dyDescent="0.25">
      <c r="A1752"/>
      <c r="B1752"/>
      <c r="C1752"/>
      <c r="D1752"/>
      <c r="E1752"/>
      <c r="F1752"/>
      <c r="G1752"/>
      <c r="H1752"/>
      <c r="I1752"/>
      <c r="J1752"/>
      <c r="K1752"/>
      <c r="L1752"/>
      <c r="M1752"/>
      <c r="N1752"/>
      <c r="O1752"/>
      <c r="P1752"/>
      <c r="Q1752"/>
      <c r="R1752"/>
      <c r="S1752"/>
    </row>
    <row r="1753" spans="1:19" x14ac:dyDescent="0.25">
      <c r="A1753"/>
      <c r="B1753"/>
      <c r="C1753"/>
      <c r="D1753"/>
      <c r="E1753"/>
      <c r="F1753"/>
      <c r="G1753"/>
      <c r="H1753"/>
      <c r="I1753"/>
      <c r="J1753"/>
      <c r="K1753"/>
      <c r="L1753"/>
      <c r="M1753"/>
      <c r="N1753"/>
      <c r="O1753"/>
      <c r="P1753"/>
      <c r="Q1753"/>
      <c r="R1753"/>
      <c r="S1753"/>
    </row>
    <row r="1754" spans="1:19" x14ac:dyDescent="0.25">
      <c r="A1754"/>
      <c r="B1754"/>
      <c r="C1754"/>
      <c r="D1754"/>
      <c r="E1754"/>
      <c r="F1754"/>
      <c r="G1754"/>
      <c r="H1754"/>
      <c r="I1754"/>
      <c r="J1754"/>
      <c r="K1754"/>
      <c r="L1754"/>
      <c r="M1754"/>
      <c r="N1754"/>
      <c r="O1754"/>
      <c r="P1754"/>
      <c r="Q1754"/>
      <c r="R1754"/>
      <c r="S1754"/>
    </row>
    <row r="1755" spans="1:19" x14ac:dyDescent="0.25">
      <c r="A1755"/>
      <c r="B1755"/>
      <c r="C1755"/>
      <c r="D1755"/>
      <c r="E1755"/>
      <c r="F1755"/>
      <c r="G1755"/>
      <c r="H1755"/>
      <c r="I1755"/>
      <c r="J1755"/>
      <c r="K1755"/>
      <c r="L1755"/>
      <c r="M1755"/>
      <c r="N1755"/>
      <c r="O1755"/>
      <c r="P1755"/>
      <c r="Q1755"/>
      <c r="R1755"/>
      <c r="S1755"/>
    </row>
    <row r="1756" spans="1:19" x14ac:dyDescent="0.25">
      <c r="A1756"/>
      <c r="B1756"/>
      <c r="C1756"/>
      <c r="D1756"/>
      <c r="E1756"/>
      <c r="F1756"/>
      <c r="G1756"/>
      <c r="H1756"/>
      <c r="I1756"/>
      <c r="J1756"/>
      <c r="K1756"/>
      <c r="L1756"/>
      <c r="M1756"/>
      <c r="N1756"/>
      <c r="O1756"/>
      <c r="P1756"/>
      <c r="Q1756"/>
      <c r="R1756"/>
      <c r="S1756"/>
    </row>
    <row r="1757" spans="1:19" x14ac:dyDescent="0.25">
      <c r="A1757"/>
      <c r="B1757"/>
      <c r="C1757"/>
      <c r="D1757"/>
      <c r="E1757"/>
      <c r="F1757"/>
      <c r="G1757"/>
      <c r="H1757"/>
      <c r="I1757"/>
      <c r="J1757"/>
      <c r="K1757"/>
      <c r="L1757"/>
      <c r="M1757"/>
      <c r="N1757"/>
      <c r="O1757"/>
      <c r="P1757"/>
      <c r="Q1757"/>
      <c r="R1757"/>
      <c r="S1757"/>
    </row>
    <row r="1758" spans="1:19" x14ac:dyDescent="0.25">
      <c r="A1758"/>
      <c r="B1758"/>
      <c r="C1758"/>
      <c r="D1758"/>
      <c r="E1758"/>
      <c r="F1758"/>
      <c r="G1758"/>
      <c r="H1758"/>
      <c r="I1758"/>
      <c r="J1758"/>
      <c r="K1758"/>
      <c r="L1758"/>
      <c r="M1758"/>
      <c r="N1758"/>
      <c r="O1758"/>
      <c r="P1758"/>
      <c r="Q1758"/>
      <c r="R1758"/>
      <c r="S1758"/>
    </row>
    <row r="1759" spans="1:19" x14ac:dyDescent="0.25">
      <c r="A1759"/>
      <c r="B1759"/>
      <c r="C1759"/>
      <c r="D1759"/>
      <c r="E1759"/>
      <c r="F1759"/>
      <c r="G1759"/>
      <c r="H1759"/>
      <c r="I1759"/>
      <c r="J1759"/>
      <c r="K1759"/>
      <c r="L1759"/>
      <c r="M1759"/>
      <c r="N1759"/>
      <c r="O1759"/>
      <c r="P1759"/>
      <c r="Q1759"/>
      <c r="R1759"/>
      <c r="S1759"/>
    </row>
    <row r="1760" spans="1:19" x14ac:dyDescent="0.25">
      <c r="A1760"/>
      <c r="B1760"/>
      <c r="C1760"/>
      <c r="D1760"/>
      <c r="E1760"/>
      <c r="F1760"/>
      <c r="G1760"/>
      <c r="H1760"/>
      <c r="I1760"/>
      <c r="J1760"/>
      <c r="K1760"/>
      <c r="L1760"/>
      <c r="M1760"/>
      <c r="N1760"/>
      <c r="O1760"/>
      <c r="P1760"/>
      <c r="Q1760"/>
      <c r="R1760"/>
      <c r="S1760"/>
    </row>
    <row r="1761" spans="1:19" x14ac:dyDescent="0.25">
      <c r="A1761"/>
      <c r="B1761"/>
      <c r="C1761"/>
      <c r="D1761"/>
      <c r="E1761"/>
      <c r="F1761"/>
      <c r="G1761"/>
      <c r="H1761"/>
      <c r="I1761"/>
      <c r="J1761"/>
      <c r="K1761"/>
      <c r="L1761"/>
      <c r="M1761"/>
      <c r="N1761"/>
      <c r="O1761"/>
      <c r="P1761"/>
      <c r="Q1761"/>
      <c r="R1761"/>
      <c r="S1761"/>
    </row>
    <row r="1762" spans="1:19" x14ac:dyDescent="0.25">
      <c r="A1762"/>
      <c r="B1762"/>
      <c r="C1762"/>
      <c r="D1762"/>
      <c r="E1762"/>
      <c r="F1762"/>
      <c r="G1762"/>
      <c r="H1762"/>
      <c r="I1762"/>
      <c r="J1762"/>
      <c r="K1762"/>
      <c r="L1762"/>
      <c r="M1762"/>
      <c r="N1762"/>
      <c r="O1762"/>
      <c r="P1762"/>
      <c r="Q1762"/>
      <c r="R1762"/>
      <c r="S1762"/>
    </row>
    <row r="1763" spans="1:19" x14ac:dyDescent="0.25">
      <c r="A1763"/>
      <c r="B1763"/>
      <c r="C1763"/>
      <c r="D1763"/>
      <c r="E1763"/>
      <c r="F1763"/>
      <c r="G1763"/>
      <c r="H1763"/>
      <c r="I1763"/>
      <c r="J1763"/>
      <c r="K1763"/>
      <c r="L1763"/>
      <c r="M1763"/>
      <c r="N1763"/>
      <c r="O1763"/>
      <c r="P1763"/>
      <c r="Q1763"/>
      <c r="R1763"/>
      <c r="S1763"/>
    </row>
    <row r="1764" spans="1:19" x14ac:dyDescent="0.25">
      <c r="A1764"/>
      <c r="B1764"/>
      <c r="C1764"/>
      <c r="D1764"/>
      <c r="E1764"/>
      <c r="F1764"/>
      <c r="G1764"/>
      <c r="H1764"/>
      <c r="I1764"/>
      <c r="J1764"/>
      <c r="K1764"/>
      <c r="L1764"/>
      <c r="M1764"/>
      <c r="N1764"/>
      <c r="O1764"/>
      <c r="P1764"/>
      <c r="Q1764"/>
      <c r="R1764"/>
      <c r="S1764"/>
    </row>
    <row r="1765" spans="1:19" x14ac:dyDescent="0.25">
      <c r="A1765"/>
      <c r="B1765"/>
      <c r="C1765"/>
      <c r="D1765"/>
      <c r="E1765"/>
      <c r="F1765"/>
      <c r="G1765"/>
      <c r="H1765"/>
      <c r="I1765"/>
      <c r="J1765"/>
      <c r="K1765"/>
      <c r="L1765"/>
      <c r="M1765"/>
      <c r="N1765"/>
      <c r="O1765"/>
      <c r="P1765"/>
      <c r="Q1765"/>
      <c r="R1765"/>
      <c r="S1765"/>
    </row>
    <row r="1766" spans="1:19" x14ac:dyDescent="0.25">
      <c r="A1766"/>
      <c r="B1766"/>
      <c r="C1766"/>
      <c r="D1766"/>
      <c r="E1766"/>
      <c r="F1766"/>
      <c r="G1766"/>
      <c r="H1766"/>
      <c r="I1766"/>
      <c r="J1766"/>
      <c r="K1766"/>
      <c r="L1766"/>
      <c r="M1766"/>
      <c r="N1766"/>
      <c r="O1766"/>
      <c r="P1766"/>
      <c r="Q1766"/>
      <c r="R1766"/>
      <c r="S1766"/>
    </row>
    <row r="1767" spans="1:19" x14ac:dyDescent="0.25">
      <c r="A1767"/>
      <c r="B1767"/>
      <c r="C1767"/>
      <c r="D1767"/>
      <c r="E1767"/>
      <c r="F1767"/>
      <c r="G1767"/>
      <c r="H1767"/>
      <c r="I1767"/>
      <c r="J1767"/>
      <c r="K1767"/>
      <c r="L1767"/>
      <c r="M1767"/>
      <c r="N1767"/>
      <c r="O1767"/>
      <c r="P1767"/>
      <c r="Q1767"/>
      <c r="R1767"/>
      <c r="S1767"/>
    </row>
    <row r="1768" spans="1:19" x14ac:dyDescent="0.25">
      <c r="A1768"/>
      <c r="B1768"/>
      <c r="C1768"/>
      <c r="D1768"/>
      <c r="E1768"/>
      <c r="F1768"/>
      <c r="G1768"/>
      <c r="H1768"/>
      <c r="I1768"/>
      <c r="J1768"/>
      <c r="K1768"/>
      <c r="L1768"/>
      <c r="M1768"/>
      <c r="N1768"/>
      <c r="O1768"/>
      <c r="P1768"/>
      <c r="Q1768"/>
      <c r="R1768"/>
      <c r="S1768"/>
    </row>
    <row r="1769" spans="1:19" x14ac:dyDescent="0.25">
      <c r="A1769"/>
      <c r="B1769"/>
      <c r="C1769"/>
      <c r="D1769"/>
      <c r="E1769"/>
      <c r="F1769"/>
      <c r="G1769"/>
      <c r="H1769"/>
      <c r="I1769"/>
      <c r="J1769"/>
      <c r="K1769"/>
      <c r="L1769"/>
      <c r="M1769"/>
      <c r="N1769"/>
      <c r="O1769"/>
      <c r="P1769"/>
      <c r="Q1769"/>
      <c r="R1769"/>
      <c r="S1769"/>
    </row>
    <row r="1770" spans="1:19" x14ac:dyDescent="0.25">
      <c r="A1770"/>
      <c r="B1770"/>
      <c r="C1770"/>
      <c r="D1770"/>
      <c r="E1770"/>
      <c r="F1770"/>
      <c r="G1770"/>
      <c r="H1770"/>
      <c r="I1770"/>
      <c r="J1770"/>
      <c r="K1770"/>
      <c r="L1770"/>
      <c r="M1770"/>
      <c r="N1770"/>
      <c r="O1770"/>
      <c r="P1770"/>
      <c r="Q1770"/>
      <c r="R1770"/>
      <c r="S1770"/>
    </row>
    <row r="1771" spans="1:19" x14ac:dyDescent="0.25">
      <c r="A1771"/>
      <c r="B1771"/>
      <c r="C1771"/>
      <c r="D1771"/>
      <c r="E1771"/>
      <c r="F1771"/>
      <c r="G1771"/>
      <c r="H1771"/>
      <c r="I1771"/>
      <c r="J1771"/>
      <c r="K1771"/>
      <c r="L1771"/>
      <c r="M1771"/>
      <c r="N1771"/>
      <c r="O1771"/>
      <c r="P1771"/>
      <c r="Q1771"/>
      <c r="R1771"/>
      <c r="S1771"/>
    </row>
    <row r="1772" spans="1:19" x14ac:dyDescent="0.25">
      <c r="A1772"/>
      <c r="B1772"/>
      <c r="C1772"/>
      <c r="D1772"/>
      <c r="E1772"/>
      <c r="F1772"/>
      <c r="G1772"/>
      <c r="H1772"/>
      <c r="I1772"/>
      <c r="J1772"/>
      <c r="K1772"/>
      <c r="L1772"/>
      <c r="M1772"/>
      <c r="N1772"/>
      <c r="O1772"/>
      <c r="P1772"/>
      <c r="Q1772"/>
      <c r="R1772"/>
      <c r="S1772"/>
    </row>
    <row r="1773" spans="1:19" x14ac:dyDescent="0.25">
      <c r="A1773"/>
      <c r="B1773"/>
      <c r="C1773"/>
      <c r="D1773"/>
      <c r="E1773"/>
      <c r="F1773"/>
      <c r="G1773"/>
      <c r="H1773"/>
      <c r="I1773"/>
      <c r="J1773"/>
      <c r="K1773"/>
      <c r="L1773"/>
      <c r="M1773"/>
      <c r="N1773"/>
      <c r="O1773"/>
      <c r="P1773"/>
      <c r="Q1773"/>
      <c r="R1773"/>
      <c r="S1773"/>
    </row>
    <row r="1774" spans="1:19" x14ac:dyDescent="0.25">
      <c r="A1774"/>
      <c r="B1774"/>
      <c r="C1774"/>
      <c r="D1774"/>
      <c r="E1774"/>
      <c r="F1774"/>
      <c r="G1774"/>
      <c r="H1774"/>
      <c r="I1774"/>
      <c r="J1774"/>
      <c r="K1774"/>
      <c r="L1774"/>
      <c r="M1774"/>
      <c r="N1774"/>
      <c r="O1774"/>
      <c r="P1774"/>
      <c r="Q1774"/>
      <c r="R1774"/>
      <c r="S1774"/>
    </row>
    <row r="1775" spans="1:19" x14ac:dyDescent="0.25">
      <c r="A1775"/>
      <c r="B1775"/>
      <c r="C1775"/>
      <c r="D1775"/>
      <c r="E1775"/>
      <c r="F1775"/>
      <c r="G1775"/>
      <c r="H1775"/>
      <c r="I1775"/>
      <c r="J1775"/>
      <c r="K1775"/>
      <c r="L1775"/>
      <c r="M1775"/>
      <c r="N1775"/>
      <c r="O1775"/>
      <c r="P1775"/>
      <c r="Q1775"/>
      <c r="R1775"/>
      <c r="S1775"/>
    </row>
    <row r="1776" spans="1:19" x14ac:dyDescent="0.25">
      <c r="A1776"/>
      <c r="B1776"/>
      <c r="C1776"/>
      <c r="D1776"/>
      <c r="E1776"/>
      <c r="F1776"/>
      <c r="G1776"/>
      <c r="H1776"/>
      <c r="I1776"/>
      <c r="J1776"/>
      <c r="K1776"/>
      <c r="L1776"/>
      <c r="M1776"/>
      <c r="N1776"/>
      <c r="O1776"/>
      <c r="P1776"/>
      <c r="Q1776"/>
      <c r="R1776"/>
      <c r="S1776"/>
    </row>
    <row r="1777" spans="1:19" x14ac:dyDescent="0.25">
      <c r="A1777"/>
      <c r="B1777"/>
      <c r="C1777"/>
      <c r="D1777"/>
      <c r="E1777"/>
      <c r="F1777"/>
      <c r="G1777"/>
      <c r="H1777"/>
      <c r="I1777"/>
      <c r="J1777"/>
      <c r="K1777"/>
      <c r="L1777"/>
      <c r="M1777"/>
      <c r="N1777"/>
      <c r="O1777"/>
      <c r="P1777"/>
      <c r="Q1777"/>
      <c r="R1777"/>
      <c r="S1777"/>
    </row>
    <row r="1778" spans="1:19" x14ac:dyDescent="0.25">
      <c r="A1778"/>
      <c r="B1778"/>
      <c r="C1778"/>
      <c r="D1778"/>
      <c r="E1778"/>
      <c r="F1778"/>
      <c r="G1778"/>
      <c r="H1778"/>
      <c r="I1778"/>
      <c r="J1778"/>
      <c r="K1778"/>
      <c r="L1778"/>
      <c r="M1778"/>
      <c r="N1778"/>
      <c r="O1778"/>
      <c r="P1778"/>
      <c r="Q1778"/>
      <c r="R1778"/>
      <c r="S1778"/>
    </row>
    <row r="1779" spans="1:19" x14ac:dyDescent="0.25">
      <c r="A1779"/>
      <c r="B1779"/>
      <c r="C1779"/>
      <c r="D1779"/>
      <c r="E1779"/>
      <c r="F1779"/>
      <c r="G1779"/>
      <c r="H1779"/>
      <c r="I1779"/>
      <c r="J1779"/>
      <c r="K1779"/>
      <c r="L1779"/>
      <c r="M1779"/>
      <c r="N1779"/>
      <c r="O1779"/>
      <c r="P1779"/>
      <c r="Q1779"/>
      <c r="R1779"/>
      <c r="S1779"/>
    </row>
    <row r="1780" spans="1:19" x14ac:dyDescent="0.25">
      <c r="A1780"/>
      <c r="B1780"/>
      <c r="C1780"/>
      <c r="D1780"/>
      <c r="E1780"/>
      <c r="F1780"/>
      <c r="G1780"/>
      <c r="H1780"/>
      <c r="I1780"/>
      <c r="J1780"/>
      <c r="K1780"/>
      <c r="L1780"/>
      <c r="M1780"/>
      <c r="N1780"/>
      <c r="O1780"/>
      <c r="P1780"/>
      <c r="Q1780"/>
      <c r="R1780"/>
      <c r="S1780"/>
    </row>
    <row r="1781" spans="1:19" x14ac:dyDescent="0.25">
      <c r="A1781"/>
      <c r="B1781"/>
      <c r="C1781"/>
      <c r="D1781"/>
      <c r="E1781"/>
      <c r="F1781"/>
      <c r="G1781"/>
      <c r="H1781"/>
      <c r="I1781"/>
      <c r="J1781"/>
      <c r="K1781"/>
      <c r="L1781"/>
      <c r="M1781"/>
      <c r="N1781"/>
      <c r="O1781"/>
      <c r="P1781"/>
      <c r="Q1781"/>
      <c r="R1781"/>
      <c r="S1781"/>
    </row>
    <row r="1782" spans="1:19" x14ac:dyDescent="0.25">
      <c r="A1782"/>
      <c r="B1782"/>
      <c r="C1782"/>
      <c r="D1782"/>
      <c r="E1782"/>
      <c r="F1782"/>
      <c r="G1782"/>
      <c r="H1782"/>
      <c r="I1782"/>
      <c r="J1782"/>
      <c r="K1782"/>
      <c r="L1782"/>
      <c r="M1782"/>
      <c r="N1782"/>
      <c r="O1782"/>
      <c r="P1782"/>
      <c r="Q1782"/>
      <c r="R1782"/>
      <c r="S1782"/>
    </row>
    <row r="1783" spans="1:19" x14ac:dyDescent="0.25">
      <c r="A1783"/>
      <c r="B1783"/>
      <c r="C1783"/>
      <c r="D1783"/>
      <c r="E1783"/>
      <c r="F1783"/>
      <c r="G1783"/>
      <c r="H1783"/>
      <c r="I1783"/>
      <c r="J1783"/>
      <c r="K1783"/>
      <c r="L1783"/>
      <c r="M1783"/>
      <c r="N1783"/>
      <c r="O1783"/>
      <c r="P1783"/>
      <c r="Q1783"/>
      <c r="R1783"/>
      <c r="S1783"/>
    </row>
    <row r="1784" spans="1:19" x14ac:dyDescent="0.25">
      <c r="A1784"/>
      <c r="B1784"/>
      <c r="C1784"/>
      <c r="D1784"/>
      <c r="E1784"/>
      <c r="F1784"/>
      <c r="G1784"/>
      <c r="H1784"/>
      <c r="I1784"/>
      <c r="J1784"/>
      <c r="K1784"/>
      <c r="L1784"/>
      <c r="M1784"/>
      <c r="N1784"/>
      <c r="O1784"/>
      <c r="P1784"/>
      <c r="Q1784"/>
      <c r="R1784"/>
      <c r="S1784"/>
    </row>
    <row r="1785" spans="1:19" x14ac:dyDescent="0.25">
      <c r="A1785"/>
      <c r="B1785"/>
      <c r="C1785"/>
      <c r="D1785"/>
      <c r="E1785"/>
      <c r="F1785"/>
      <c r="G1785"/>
      <c r="H1785"/>
      <c r="I1785"/>
      <c r="J1785"/>
      <c r="K1785"/>
      <c r="L1785"/>
      <c r="M1785"/>
      <c r="N1785"/>
      <c r="O1785"/>
      <c r="P1785"/>
      <c r="Q1785"/>
      <c r="R1785"/>
      <c r="S1785"/>
    </row>
    <row r="1786" spans="1:19" x14ac:dyDescent="0.25">
      <c r="A1786"/>
      <c r="B1786"/>
      <c r="C1786"/>
      <c r="D1786"/>
      <c r="E1786"/>
      <c r="F1786"/>
      <c r="G1786"/>
      <c r="H1786"/>
      <c r="I1786"/>
      <c r="J1786"/>
      <c r="K1786"/>
      <c r="L1786"/>
      <c r="M1786"/>
      <c r="N1786"/>
      <c r="O1786"/>
      <c r="P1786"/>
      <c r="Q1786"/>
      <c r="R1786"/>
      <c r="S1786"/>
    </row>
    <row r="1787" spans="1:19" x14ac:dyDescent="0.25">
      <c r="A1787"/>
      <c r="B1787"/>
      <c r="C1787"/>
      <c r="D1787"/>
      <c r="E1787"/>
      <c r="F1787"/>
      <c r="G1787"/>
      <c r="H1787"/>
      <c r="I1787"/>
      <c r="J1787"/>
      <c r="K1787"/>
      <c r="L1787"/>
      <c r="M1787"/>
      <c r="N1787"/>
      <c r="O1787"/>
      <c r="P1787"/>
      <c r="Q1787"/>
      <c r="R1787"/>
      <c r="S1787"/>
    </row>
    <row r="1788" spans="1:19" x14ac:dyDescent="0.25">
      <c r="A1788"/>
      <c r="B1788"/>
      <c r="C1788"/>
      <c r="D1788"/>
      <c r="E1788"/>
      <c r="F1788"/>
      <c r="G1788"/>
      <c r="H1788"/>
      <c r="I1788"/>
      <c r="J1788"/>
      <c r="K1788"/>
      <c r="L1788"/>
      <c r="M1788"/>
      <c r="N1788"/>
      <c r="O1788"/>
      <c r="P1788"/>
      <c r="Q1788"/>
      <c r="R1788"/>
      <c r="S1788"/>
    </row>
    <row r="1789" spans="1:19" x14ac:dyDescent="0.25">
      <c r="A1789"/>
      <c r="B1789"/>
      <c r="C1789"/>
      <c r="D1789"/>
      <c r="E1789"/>
      <c r="F1789"/>
      <c r="G1789"/>
      <c r="H1789"/>
      <c r="I1789"/>
      <c r="J1789"/>
      <c r="K1789"/>
      <c r="L1789"/>
      <c r="M1789"/>
      <c r="N1789"/>
      <c r="O1789"/>
      <c r="P1789"/>
      <c r="Q1789"/>
      <c r="R1789"/>
      <c r="S1789"/>
    </row>
    <row r="1790" spans="1:19" x14ac:dyDescent="0.25">
      <c r="A1790"/>
      <c r="B1790"/>
      <c r="C1790"/>
      <c r="D1790"/>
      <c r="E1790"/>
      <c r="F1790"/>
      <c r="G1790"/>
      <c r="H1790"/>
      <c r="I1790"/>
      <c r="J1790"/>
      <c r="K1790"/>
      <c r="L1790"/>
      <c r="M1790"/>
      <c r="N1790"/>
      <c r="O1790"/>
      <c r="P1790"/>
      <c r="Q1790"/>
      <c r="R1790"/>
      <c r="S1790"/>
    </row>
    <row r="1791" spans="1:19" x14ac:dyDescent="0.25">
      <c r="A1791"/>
      <c r="B1791"/>
      <c r="C1791"/>
      <c r="D1791"/>
      <c r="E1791"/>
      <c r="F1791"/>
      <c r="G1791"/>
      <c r="H1791"/>
      <c r="I1791"/>
      <c r="J1791"/>
      <c r="K1791"/>
      <c r="L1791"/>
      <c r="M1791"/>
      <c r="N1791"/>
      <c r="O1791"/>
      <c r="P1791"/>
      <c r="Q1791"/>
      <c r="R1791"/>
      <c r="S1791"/>
    </row>
    <row r="1792" spans="1:19" x14ac:dyDescent="0.25">
      <c r="A1792"/>
      <c r="B1792"/>
      <c r="C1792"/>
      <c r="D1792"/>
      <c r="E1792"/>
      <c r="F1792"/>
      <c r="G1792"/>
      <c r="H1792"/>
      <c r="I1792"/>
      <c r="J1792"/>
      <c r="K1792"/>
      <c r="L1792"/>
      <c r="M1792"/>
      <c r="N1792"/>
      <c r="O1792"/>
      <c r="P1792"/>
      <c r="Q1792"/>
      <c r="R1792"/>
      <c r="S1792"/>
    </row>
    <row r="1793" spans="1:19" x14ac:dyDescent="0.25">
      <c r="A1793"/>
      <c r="B1793"/>
      <c r="C1793"/>
      <c r="D1793"/>
      <c r="E1793"/>
      <c r="F1793"/>
      <c r="G1793"/>
      <c r="H1793"/>
      <c r="I1793"/>
      <c r="J1793"/>
      <c r="K1793"/>
      <c r="L1793"/>
      <c r="M1793"/>
      <c r="N1793"/>
      <c r="O1793"/>
      <c r="P1793"/>
      <c r="Q1793"/>
      <c r="R1793"/>
      <c r="S1793"/>
    </row>
    <row r="1794" spans="1:19" x14ac:dyDescent="0.25">
      <c r="A1794"/>
      <c r="B1794"/>
      <c r="C1794"/>
      <c r="D1794"/>
      <c r="E1794"/>
      <c r="F1794"/>
      <c r="G1794"/>
      <c r="H1794"/>
      <c r="I1794"/>
      <c r="J1794"/>
      <c r="K1794"/>
      <c r="L1794"/>
      <c r="M1794"/>
      <c r="N1794"/>
      <c r="O1794"/>
      <c r="P1794"/>
      <c r="Q1794"/>
      <c r="R1794"/>
      <c r="S1794"/>
    </row>
    <row r="1795" spans="1:19" x14ac:dyDescent="0.25">
      <c r="A1795"/>
      <c r="B1795"/>
      <c r="C1795"/>
      <c r="D1795"/>
      <c r="E1795"/>
      <c r="F1795"/>
      <c r="G1795"/>
      <c r="H1795"/>
      <c r="I1795"/>
      <c r="J1795"/>
      <c r="K1795"/>
      <c r="L1795"/>
      <c r="M1795"/>
      <c r="N1795"/>
      <c r="O1795"/>
      <c r="P1795"/>
      <c r="Q1795"/>
      <c r="R1795"/>
      <c r="S1795"/>
    </row>
    <row r="1796" spans="1:19" x14ac:dyDescent="0.25">
      <c r="A1796"/>
      <c r="B1796"/>
      <c r="C1796"/>
      <c r="D1796"/>
      <c r="E1796"/>
      <c r="F1796"/>
      <c r="G1796"/>
      <c r="H1796"/>
      <c r="I1796"/>
      <c r="J1796"/>
      <c r="K1796"/>
      <c r="L1796"/>
      <c r="M1796"/>
      <c r="N1796"/>
      <c r="O1796"/>
      <c r="P1796"/>
      <c r="Q1796"/>
      <c r="R1796"/>
      <c r="S1796"/>
    </row>
    <row r="1797" spans="1:19" x14ac:dyDescent="0.25">
      <c r="A1797"/>
      <c r="B1797"/>
      <c r="C1797"/>
      <c r="D1797"/>
      <c r="E1797"/>
      <c r="F1797"/>
      <c r="G1797"/>
      <c r="H1797"/>
      <c r="I1797"/>
      <c r="J1797"/>
      <c r="K1797"/>
      <c r="L1797"/>
      <c r="M1797"/>
      <c r="N1797"/>
      <c r="O1797"/>
      <c r="P1797"/>
      <c r="Q1797"/>
      <c r="R1797"/>
      <c r="S1797"/>
    </row>
    <row r="1798" spans="1:19" x14ac:dyDescent="0.25">
      <c r="A1798"/>
      <c r="B1798"/>
      <c r="C1798"/>
      <c r="D1798"/>
      <c r="E1798"/>
      <c r="F1798"/>
      <c r="G1798"/>
      <c r="H1798"/>
      <c r="I1798"/>
      <c r="J1798"/>
      <c r="K1798"/>
      <c r="L1798"/>
      <c r="M1798"/>
      <c r="N1798"/>
      <c r="O1798"/>
      <c r="P1798"/>
      <c r="Q1798"/>
      <c r="R1798"/>
      <c r="S1798"/>
    </row>
    <row r="1799" spans="1:19" x14ac:dyDescent="0.25">
      <c r="A1799"/>
      <c r="B1799"/>
      <c r="C1799"/>
      <c r="D1799"/>
      <c r="E1799"/>
      <c r="F1799"/>
      <c r="G1799"/>
      <c r="H1799"/>
      <c r="I1799"/>
      <c r="J1799"/>
      <c r="K1799"/>
      <c r="L1799"/>
      <c r="M1799"/>
      <c r="N1799"/>
      <c r="O1799"/>
      <c r="P1799"/>
      <c r="Q1799"/>
      <c r="R1799"/>
      <c r="S1799"/>
    </row>
    <row r="1800" spans="1:19" x14ac:dyDescent="0.25">
      <c r="A1800"/>
      <c r="B1800"/>
      <c r="C1800"/>
      <c r="D1800"/>
      <c r="E1800"/>
      <c r="F1800"/>
      <c r="G1800"/>
      <c r="H1800"/>
      <c r="I1800"/>
      <c r="J1800"/>
      <c r="K1800"/>
      <c r="L1800"/>
      <c r="M1800"/>
      <c r="N1800"/>
      <c r="O1800"/>
      <c r="P1800"/>
      <c r="Q1800"/>
      <c r="R1800"/>
      <c r="S1800"/>
    </row>
    <row r="1801" spans="1:19" x14ac:dyDescent="0.25">
      <c r="A1801"/>
      <c r="B1801"/>
      <c r="C1801"/>
      <c r="D1801"/>
      <c r="E1801"/>
      <c r="F1801"/>
      <c r="G1801"/>
      <c r="H1801"/>
      <c r="I1801"/>
      <c r="J1801"/>
      <c r="K1801"/>
      <c r="L1801"/>
      <c r="M1801"/>
      <c r="N1801"/>
      <c r="O1801"/>
      <c r="P1801"/>
      <c r="Q1801"/>
      <c r="R1801"/>
      <c r="S1801"/>
    </row>
    <row r="1802" spans="1:19" x14ac:dyDescent="0.25">
      <c r="A1802"/>
      <c r="B1802"/>
      <c r="C1802"/>
      <c r="D1802"/>
      <c r="E1802"/>
      <c r="F1802"/>
      <c r="G1802"/>
      <c r="H1802"/>
      <c r="I1802"/>
      <c r="J1802"/>
      <c r="K1802"/>
      <c r="L1802"/>
      <c r="M1802"/>
      <c r="N1802"/>
      <c r="O1802"/>
      <c r="P1802"/>
      <c r="Q1802"/>
      <c r="R1802"/>
      <c r="S1802"/>
    </row>
    <row r="1803" spans="1:19" x14ac:dyDescent="0.25">
      <c r="A1803"/>
      <c r="B1803"/>
      <c r="C1803"/>
      <c r="D1803"/>
      <c r="E1803"/>
      <c r="F1803"/>
      <c r="G1803"/>
      <c r="H1803"/>
      <c r="I1803"/>
      <c r="J1803"/>
      <c r="K1803"/>
      <c r="L1803"/>
      <c r="M1803"/>
      <c r="N1803"/>
      <c r="O1803"/>
      <c r="P1803"/>
      <c r="Q1803"/>
      <c r="R1803"/>
      <c r="S1803"/>
    </row>
    <row r="1804" spans="1:19" x14ac:dyDescent="0.25">
      <c r="A1804"/>
      <c r="B1804"/>
      <c r="C1804"/>
      <c r="D1804"/>
      <c r="E1804"/>
      <c r="F1804"/>
      <c r="G1804"/>
      <c r="H1804"/>
      <c r="I1804"/>
      <c r="J1804"/>
      <c r="K1804"/>
      <c r="L1804"/>
      <c r="M1804"/>
      <c r="N1804"/>
      <c r="O1804"/>
      <c r="P1804"/>
      <c r="Q1804"/>
      <c r="R1804"/>
      <c r="S1804"/>
    </row>
    <row r="1805" spans="1:19" x14ac:dyDescent="0.25">
      <c r="A1805"/>
      <c r="B1805"/>
      <c r="C1805"/>
      <c r="D1805"/>
      <c r="E1805"/>
      <c r="F1805"/>
      <c r="G1805"/>
      <c r="H1805"/>
      <c r="I1805"/>
      <c r="J1805"/>
      <c r="K1805"/>
      <c r="L1805"/>
      <c r="M1805"/>
      <c r="N1805"/>
      <c r="O1805"/>
      <c r="P1805"/>
      <c r="Q1805"/>
      <c r="R1805"/>
      <c r="S1805"/>
    </row>
    <row r="1806" spans="1:19" x14ac:dyDescent="0.25">
      <c r="A1806"/>
      <c r="B1806"/>
      <c r="C1806"/>
      <c r="D1806"/>
      <c r="E1806"/>
      <c r="F1806"/>
      <c r="G1806"/>
      <c r="H1806"/>
      <c r="I1806"/>
      <c r="J1806"/>
      <c r="K1806"/>
      <c r="L1806"/>
      <c r="M1806"/>
      <c r="N1806"/>
      <c r="O1806"/>
      <c r="P1806"/>
      <c r="Q1806"/>
      <c r="R1806"/>
      <c r="S1806"/>
    </row>
    <row r="1807" spans="1:19" x14ac:dyDescent="0.25">
      <c r="A1807"/>
      <c r="B1807"/>
      <c r="C1807"/>
      <c r="D1807"/>
      <c r="E1807"/>
      <c r="F1807"/>
      <c r="G1807"/>
      <c r="H1807"/>
      <c r="I1807"/>
      <c r="J1807"/>
      <c r="K1807"/>
      <c r="L1807"/>
      <c r="M1807"/>
      <c r="N1807"/>
      <c r="O1807"/>
      <c r="P1807"/>
      <c r="Q1807"/>
      <c r="R1807"/>
      <c r="S1807"/>
    </row>
    <row r="1808" spans="1:19" x14ac:dyDescent="0.25">
      <c r="A1808"/>
      <c r="B1808"/>
      <c r="C1808"/>
      <c r="D1808"/>
      <c r="E1808"/>
      <c r="F1808"/>
      <c r="G1808"/>
      <c r="H1808"/>
      <c r="I1808"/>
      <c r="J1808"/>
      <c r="K1808"/>
      <c r="L1808"/>
      <c r="M1808"/>
      <c r="N1808"/>
      <c r="O1808"/>
      <c r="P1808"/>
      <c r="Q1808"/>
      <c r="R1808"/>
      <c r="S1808"/>
    </row>
    <row r="1809" spans="1:19" x14ac:dyDescent="0.25">
      <c r="A1809"/>
      <c r="B1809"/>
      <c r="C1809"/>
      <c r="D1809"/>
      <c r="E1809"/>
      <c r="F1809"/>
      <c r="G1809"/>
      <c r="H1809"/>
      <c r="I1809"/>
      <c r="J1809"/>
      <c r="K1809"/>
      <c r="L1809"/>
      <c r="M1809"/>
      <c r="N1809"/>
      <c r="O1809"/>
      <c r="P1809"/>
      <c r="Q1809"/>
      <c r="R1809"/>
      <c r="S1809"/>
    </row>
    <row r="1810" spans="1:19" x14ac:dyDescent="0.25">
      <c r="A1810"/>
      <c r="B1810"/>
      <c r="C1810"/>
      <c r="D1810"/>
      <c r="E1810"/>
      <c r="F1810"/>
      <c r="G1810"/>
      <c r="H1810"/>
      <c r="I1810"/>
      <c r="J1810"/>
      <c r="K1810"/>
      <c r="L1810"/>
      <c r="M1810"/>
      <c r="N1810"/>
      <c r="O1810"/>
      <c r="P1810"/>
      <c r="Q1810"/>
      <c r="R1810"/>
      <c r="S1810"/>
    </row>
    <row r="1811" spans="1:19" x14ac:dyDescent="0.25">
      <c r="A1811"/>
      <c r="B1811"/>
      <c r="C1811"/>
      <c r="D1811"/>
      <c r="E1811"/>
      <c r="F1811"/>
      <c r="G1811"/>
      <c r="H1811"/>
      <c r="I1811"/>
      <c r="J1811"/>
      <c r="K1811"/>
      <c r="L1811"/>
      <c r="M1811"/>
      <c r="N1811"/>
      <c r="O1811"/>
      <c r="P1811"/>
      <c r="Q1811"/>
      <c r="R1811"/>
      <c r="S1811"/>
    </row>
    <row r="1812" spans="1:19" x14ac:dyDescent="0.25">
      <c r="A1812"/>
      <c r="B1812"/>
      <c r="C1812"/>
      <c r="D1812"/>
      <c r="E1812"/>
      <c r="F1812"/>
      <c r="G1812"/>
      <c r="H1812"/>
      <c r="I1812"/>
      <c r="J1812"/>
      <c r="K1812"/>
      <c r="L1812"/>
      <c r="M1812"/>
      <c r="N1812"/>
      <c r="O1812"/>
      <c r="P1812"/>
      <c r="Q1812"/>
      <c r="R1812"/>
      <c r="S1812"/>
    </row>
    <row r="1813" spans="1:19" x14ac:dyDescent="0.25">
      <c r="A1813"/>
      <c r="B1813"/>
      <c r="C1813"/>
      <c r="D1813"/>
      <c r="E1813"/>
      <c r="F1813"/>
      <c r="G1813"/>
      <c r="H1813"/>
      <c r="I1813"/>
      <c r="J1813"/>
      <c r="K1813"/>
      <c r="L1813"/>
      <c r="M1813"/>
      <c r="N1813"/>
      <c r="O1813"/>
      <c r="P1813"/>
      <c r="Q1813"/>
      <c r="R1813"/>
      <c r="S1813"/>
    </row>
    <row r="1814" spans="1:19" x14ac:dyDescent="0.25">
      <c r="A1814"/>
      <c r="B1814"/>
      <c r="C1814"/>
      <c r="D1814"/>
      <c r="E1814"/>
      <c r="F1814"/>
      <c r="G1814"/>
      <c r="H1814"/>
      <c r="I1814"/>
      <c r="J1814"/>
      <c r="K1814"/>
      <c r="L1814"/>
      <c r="M1814"/>
      <c r="N1814"/>
      <c r="O1814"/>
      <c r="P1814"/>
      <c r="Q1814"/>
      <c r="R1814"/>
      <c r="S1814"/>
    </row>
    <row r="1815" spans="1:19" x14ac:dyDescent="0.25">
      <c r="A1815"/>
      <c r="B1815"/>
      <c r="C1815"/>
      <c r="D1815"/>
      <c r="E1815"/>
      <c r="F1815"/>
      <c r="G1815"/>
      <c r="H1815"/>
      <c r="I1815"/>
      <c r="J1815"/>
      <c r="K1815"/>
      <c r="L1815"/>
      <c r="M1815"/>
      <c r="N1815"/>
      <c r="O1815"/>
      <c r="P1815"/>
      <c r="Q1815"/>
      <c r="R1815"/>
      <c r="S1815"/>
    </row>
    <row r="1816" spans="1:19" x14ac:dyDescent="0.25">
      <c r="A1816"/>
      <c r="B1816"/>
      <c r="C1816"/>
      <c r="D1816"/>
      <c r="E1816"/>
      <c r="F1816"/>
      <c r="G1816"/>
      <c r="H1816"/>
      <c r="I1816"/>
      <c r="J1816"/>
      <c r="K1816"/>
      <c r="L1816"/>
      <c r="M1816"/>
      <c r="N1816"/>
      <c r="O1816"/>
      <c r="P1816"/>
      <c r="Q1816"/>
      <c r="R1816"/>
      <c r="S1816"/>
    </row>
    <row r="1817" spans="1:19" x14ac:dyDescent="0.25">
      <c r="A1817"/>
      <c r="B1817"/>
      <c r="C1817"/>
      <c r="D1817"/>
      <c r="E1817"/>
      <c r="F1817"/>
      <c r="G1817"/>
      <c r="H1817"/>
      <c r="I1817"/>
      <c r="J1817"/>
      <c r="K1817"/>
      <c r="L1817"/>
      <c r="M1817"/>
      <c r="N1817"/>
      <c r="O1817"/>
      <c r="P1817"/>
      <c r="Q1817"/>
      <c r="R1817"/>
      <c r="S1817"/>
    </row>
    <row r="1818" spans="1:19" x14ac:dyDescent="0.25">
      <c r="A1818"/>
      <c r="B1818"/>
      <c r="C1818"/>
      <c r="D1818"/>
      <c r="E1818"/>
      <c r="F1818"/>
      <c r="G1818"/>
      <c r="H1818"/>
      <c r="I1818"/>
      <c r="J1818"/>
      <c r="K1818"/>
      <c r="L1818"/>
      <c r="M1818"/>
      <c r="N1818"/>
      <c r="O1818"/>
      <c r="P1818"/>
      <c r="Q1818"/>
      <c r="R1818"/>
      <c r="S1818"/>
    </row>
    <row r="1819" spans="1:19" x14ac:dyDescent="0.25">
      <c r="A1819"/>
      <c r="B1819"/>
      <c r="C1819"/>
      <c r="D1819"/>
      <c r="E1819"/>
      <c r="F1819"/>
      <c r="G1819"/>
      <c r="H1819"/>
      <c r="I1819"/>
      <c r="J1819"/>
      <c r="K1819"/>
      <c r="L1819"/>
      <c r="M1819"/>
      <c r="N1819"/>
      <c r="O1819"/>
      <c r="P1819"/>
      <c r="Q1819"/>
      <c r="R1819"/>
      <c r="S1819"/>
    </row>
    <row r="1820" spans="1:19" x14ac:dyDescent="0.25">
      <c r="A1820"/>
      <c r="B1820"/>
      <c r="C1820"/>
      <c r="D1820"/>
      <c r="E1820"/>
      <c r="F1820"/>
      <c r="G1820"/>
      <c r="H1820"/>
      <c r="I1820"/>
      <c r="J1820"/>
      <c r="K1820"/>
      <c r="L1820"/>
      <c r="M1820"/>
      <c r="N1820"/>
      <c r="O1820"/>
      <c r="P1820"/>
      <c r="Q1820"/>
      <c r="R1820"/>
      <c r="S1820"/>
    </row>
    <row r="1821" spans="1:19" x14ac:dyDescent="0.25">
      <c r="A1821"/>
      <c r="B1821"/>
      <c r="C1821"/>
      <c r="D1821"/>
      <c r="E1821"/>
      <c r="F1821"/>
      <c r="G1821"/>
      <c r="H1821"/>
      <c r="I1821"/>
      <c r="J1821"/>
      <c r="K1821"/>
      <c r="L1821"/>
      <c r="M1821"/>
      <c r="N1821"/>
      <c r="O1821"/>
      <c r="P1821"/>
      <c r="Q1821"/>
      <c r="R1821"/>
      <c r="S1821"/>
    </row>
    <row r="1822" spans="1:19" x14ac:dyDescent="0.25">
      <c r="A1822"/>
      <c r="B1822"/>
      <c r="C1822"/>
      <c r="D1822"/>
      <c r="E1822"/>
      <c r="F1822"/>
      <c r="G1822"/>
      <c r="H1822"/>
      <c r="I1822"/>
      <c r="J1822"/>
      <c r="K1822"/>
      <c r="L1822"/>
      <c r="M1822"/>
      <c r="N1822"/>
      <c r="O1822"/>
      <c r="P1822"/>
      <c r="Q1822"/>
      <c r="R1822"/>
      <c r="S1822"/>
    </row>
    <row r="1823" spans="1:19" x14ac:dyDescent="0.25">
      <c r="A1823"/>
      <c r="B1823"/>
      <c r="C1823"/>
      <c r="D1823"/>
      <c r="E1823"/>
      <c r="F1823"/>
      <c r="G1823"/>
      <c r="H1823"/>
      <c r="I1823"/>
      <c r="J1823"/>
      <c r="K1823"/>
      <c r="L1823"/>
      <c r="M1823"/>
      <c r="N1823"/>
      <c r="O1823"/>
      <c r="P1823"/>
      <c r="Q1823"/>
      <c r="R1823"/>
      <c r="S1823"/>
    </row>
    <row r="1824" spans="1:19" x14ac:dyDescent="0.25">
      <c r="A1824"/>
      <c r="B1824"/>
      <c r="C1824"/>
      <c r="D1824"/>
      <c r="E1824"/>
      <c r="F1824"/>
      <c r="G1824"/>
      <c r="H1824"/>
      <c r="I1824"/>
      <c r="J1824"/>
      <c r="K1824"/>
      <c r="L1824"/>
      <c r="M1824"/>
      <c r="N1824"/>
      <c r="O1824"/>
      <c r="P1824"/>
      <c r="Q1824"/>
      <c r="R1824"/>
      <c r="S1824"/>
    </row>
    <row r="1825" spans="1:19" x14ac:dyDescent="0.25">
      <c r="A1825"/>
      <c r="B1825"/>
      <c r="C1825"/>
      <c r="D1825"/>
      <c r="E1825"/>
      <c r="F1825"/>
      <c r="G1825"/>
      <c r="H1825"/>
      <c r="I1825"/>
      <c r="J1825"/>
      <c r="K1825"/>
      <c r="L1825"/>
      <c r="M1825"/>
      <c r="N1825"/>
      <c r="O1825"/>
      <c r="P1825"/>
      <c r="Q1825"/>
      <c r="R1825"/>
      <c r="S1825"/>
    </row>
    <row r="1826" spans="1:19" x14ac:dyDescent="0.25">
      <c r="A1826"/>
      <c r="B1826"/>
      <c r="C1826"/>
      <c r="D1826"/>
      <c r="E1826"/>
      <c r="F1826"/>
      <c r="G1826"/>
      <c r="H1826"/>
      <c r="I1826"/>
      <c r="J1826"/>
      <c r="K1826"/>
      <c r="L1826"/>
      <c r="M1826"/>
      <c r="N1826"/>
      <c r="O1826"/>
      <c r="P1826"/>
      <c r="Q1826"/>
      <c r="R1826"/>
      <c r="S1826"/>
    </row>
    <row r="1827" spans="1:19" x14ac:dyDescent="0.25">
      <c r="A1827"/>
      <c r="B1827"/>
      <c r="C1827"/>
      <c r="D1827"/>
      <c r="E1827"/>
      <c r="F1827"/>
      <c r="G1827"/>
      <c r="H1827"/>
      <c r="I1827"/>
      <c r="J1827"/>
      <c r="K1827"/>
      <c r="L1827"/>
      <c r="M1827"/>
      <c r="N1827"/>
      <c r="O1827"/>
      <c r="P1827"/>
      <c r="Q1827"/>
      <c r="R1827"/>
      <c r="S1827"/>
    </row>
    <row r="1828" spans="1:19" x14ac:dyDescent="0.25">
      <c r="A1828"/>
      <c r="B1828"/>
      <c r="C1828"/>
      <c r="D1828"/>
      <c r="E1828"/>
      <c r="F1828"/>
      <c r="G1828"/>
      <c r="H1828"/>
      <c r="I1828"/>
      <c r="J1828"/>
      <c r="K1828"/>
      <c r="L1828"/>
      <c r="M1828"/>
      <c r="N1828"/>
      <c r="O1828"/>
      <c r="P1828"/>
      <c r="Q1828"/>
      <c r="R1828"/>
      <c r="S1828"/>
    </row>
    <row r="1829" spans="1:19" x14ac:dyDescent="0.25">
      <c r="A1829"/>
      <c r="B1829"/>
      <c r="C1829"/>
      <c r="D1829"/>
      <c r="E1829"/>
      <c r="F1829"/>
      <c r="G1829"/>
      <c r="H1829"/>
      <c r="I1829"/>
      <c r="J1829"/>
      <c r="K1829"/>
      <c r="L1829"/>
      <c r="M1829"/>
      <c r="N1829"/>
      <c r="O1829"/>
      <c r="P1829"/>
      <c r="Q1829"/>
      <c r="R1829"/>
      <c r="S1829"/>
    </row>
    <row r="1830" spans="1:19" x14ac:dyDescent="0.25">
      <c r="A1830"/>
      <c r="B1830"/>
      <c r="C1830"/>
      <c r="D1830"/>
      <c r="E1830"/>
      <c r="F1830"/>
      <c r="G1830"/>
      <c r="H1830"/>
      <c r="I1830"/>
      <c r="J1830"/>
      <c r="K1830"/>
      <c r="L1830"/>
      <c r="M1830"/>
      <c r="N1830"/>
      <c r="O1830"/>
      <c r="P1830"/>
      <c r="Q1830"/>
      <c r="R1830"/>
      <c r="S1830"/>
    </row>
    <row r="1831" spans="1:19" x14ac:dyDescent="0.25">
      <c r="A1831"/>
      <c r="B1831"/>
      <c r="C1831"/>
      <c r="D1831"/>
      <c r="E1831"/>
      <c r="F1831"/>
      <c r="G1831"/>
      <c r="H1831"/>
      <c r="I1831"/>
      <c r="J1831"/>
      <c r="K1831"/>
      <c r="L1831"/>
      <c r="M1831"/>
      <c r="N1831"/>
      <c r="O1831"/>
      <c r="P1831"/>
      <c r="Q1831"/>
      <c r="R1831"/>
      <c r="S1831"/>
    </row>
    <row r="1832" spans="1:19" x14ac:dyDescent="0.25">
      <c r="A1832"/>
      <c r="B1832"/>
      <c r="C1832"/>
      <c r="D1832"/>
      <c r="E1832"/>
      <c r="F1832"/>
      <c r="G1832"/>
      <c r="H1832"/>
      <c r="I1832"/>
      <c r="J1832"/>
      <c r="K1832"/>
      <c r="L1832"/>
      <c r="M1832"/>
      <c r="N1832"/>
      <c r="O1832"/>
      <c r="P1832"/>
      <c r="Q1832"/>
      <c r="R1832"/>
      <c r="S1832"/>
    </row>
    <row r="1833" spans="1:19" x14ac:dyDescent="0.25">
      <c r="A1833"/>
      <c r="B1833"/>
      <c r="C1833"/>
      <c r="D1833"/>
      <c r="E1833"/>
      <c r="F1833"/>
      <c r="G1833"/>
      <c r="H1833"/>
      <c r="I1833"/>
      <c r="J1833"/>
      <c r="K1833"/>
      <c r="L1833"/>
      <c r="M1833"/>
      <c r="N1833"/>
      <c r="O1833"/>
      <c r="P1833"/>
      <c r="Q1833"/>
      <c r="R1833"/>
      <c r="S1833"/>
    </row>
    <row r="1834" spans="1:19" x14ac:dyDescent="0.25">
      <c r="A1834"/>
      <c r="B1834"/>
      <c r="C1834"/>
      <c r="D1834"/>
      <c r="E1834"/>
      <c r="F1834"/>
      <c r="G1834"/>
      <c r="H1834"/>
      <c r="I1834"/>
      <c r="J1834"/>
      <c r="K1834"/>
      <c r="L1834"/>
      <c r="M1834"/>
      <c r="N1834"/>
      <c r="O1834"/>
      <c r="P1834"/>
      <c r="Q1834"/>
      <c r="R1834"/>
      <c r="S1834"/>
    </row>
    <row r="1835" spans="1:19" x14ac:dyDescent="0.25">
      <c r="A1835"/>
      <c r="B1835"/>
      <c r="C1835"/>
      <c r="D1835"/>
      <c r="E1835"/>
      <c r="F1835"/>
      <c r="G1835"/>
      <c r="H1835"/>
      <c r="I1835"/>
      <c r="J1835"/>
      <c r="K1835"/>
      <c r="L1835"/>
      <c r="M1835"/>
      <c r="N1835"/>
      <c r="O1835"/>
      <c r="P1835"/>
      <c r="Q1835"/>
      <c r="R1835"/>
      <c r="S1835"/>
    </row>
    <row r="1836" spans="1:19" x14ac:dyDescent="0.25">
      <c r="A1836"/>
      <c r="B1836"/>
      <c r="C1836"/>
      <c r="D1836"/>
      <c r="E1836"/>
      <c r="F1836"/>
      <c r="G1836"/>
      <c r="H1836"/>
      <c r="I1836"/>
      <c r="J1836"/>
      <c r="K1836"/>
      <c r="L1836"/>
      <c r="M1836"/>
      <c r="N1836"/>
      <c r="O1836"/>
      <c r="P1836"/>
      <c r="Q1836"/>
      <c r="R1836"/>
      <c r="S1836"/>
    </row>
    <row r="1837" spans="1:19" x14ac:dyDescent="0.25">
      <c r="A1837"/>
      <c r="B1837"/>
      <c r="C1837"/>
      <c r="D1837"/>
      <c r="E1837"/>
      <c r="F1837"/>
      <c r="G1837"/>
      <c r="H1837"/>
      <c r="I1837"/>
      <c r="J1837"/>
      <c r="K1837"/>
      <c r="L1837"/>
      <c r="M1837"/>
      <c r="N1837"/>
      <c r="O1837"/>
      <c r="P1837"/>
      <c r="Q1837"/>
      <c r="R1837"/>
      <c r="S1837"/>
    </row>
    <row r="1838" spans="1:19" x14ac:dyDescent="0.25">
      <c r="A1838"/>
      <c r="B1838"/>
      <c r="C1838"/>
      <c r="D1838"/>
      <c r="E1838"/>
      <c r="F1838"/>
      <c r="G1838"/>
      <c r="H1838"/>
      <c r="I1838"/>
      <c r="J1838"/>
      <c r="K1838"/>
      <c r="L1838"/>
      <c r="M1838"/>
      <c r="N1838"/>
      <c r="O1838"/>
      <c r="P1838"/>
      <c r="Q1838"/>
      <c r="R1838"/>
      <c r="S1838"/>
    </row>
    <row r="1839" spans="1:19" x14ac:dyDescent="0.25">
      <c r="A1839"/>
      <c r="B1839"/>
      <c r="C1839"/>
      <c r="D1839"/>
      <c r="E1839"/>
      <c r="F1839"/>
      <c r="G1839"/>
      <c r="H1839"/>
      <c r="I1839"/>
      <c r="J1839"/>
      <c r="K1839"/>
      <c r="L1839"/>
      <c r="M1839"/>
      <c r="N1839"/>
      <c r="O1839"/>
      <c r="P1839"/>
      <c r="Q1839"/>
      <c r="R1839"/>
      <c r="S1839"/>
    </row>
    <row r="1840" spans="1:19" x14ac:dyDescent="0.25">
      <c r="A1840"/>
      <c r="B1840"/>
      <c r="C1840"/>
      <c r="D1840"/>
      <c r="E1840"/>
      <c r="F1840"/>
      <c r="G1840"/>
      <c r="H1840"/>
      <c r="I1840"/>
      <c r="J1840"/>
      <c r="K1840"/>
      <c r="L1840"/>
      <c r="M1840"/>
      <c r="N1840"/>
      <c r="O1840"/>
      <c r="P1840"/>
      <c r="Q1840"/>
      <c r="R1840"/>
      <c r="S1840"/>
    </row>
    <row r="1841" spans="1:19" x14ac:dyDescent="0.25">
      <c r="A1841"/>
      <c r="B1841"/>
      <c r="C1841"/>
      <c r="D1841"/>
      <c r="E1841"/>
      <c r="F1841"/>
      <c r="G1841"/>
      <c r="H1841"/>
      <c r="I1841"/>
      <c r="J1841"/>
      <c r="K1841"/>
      <c r="L1841"/>
      <c r="M1841"/>
      <c r="N1841"/>
      <c r="O1841"/>
      <c r="P1841"/>
      <c r="Q1841"/>
      <c r="R1841"/>
      <c r="S1841"/>
    </row>
    <row r="1842" spans="1:19" x14ac:dyDescent="0.25">
      <c r="A1842"/>
      <c r="B1842"/>
      <c r="C1842"/>
      <c r="D1842"/>
      <c r="E1842"/>
      <c r="F1842"/>
      <c r="G1842"/>
      <c r="H1842"/>
      <c r="I1842"/>
      <c r="J1842"/>
      <c r="K1842"/>
      <c r="L1842"/>
      <c r="M1842"/>
      <c r="N1842"/>
      <c r="O1842"/>
      <c r="P1842"/>
      <c r="Q1842"/>
      <c r="R1842"/>
      <c r="S1842"/>
    </row>
    <row r="1843" spans="1:19" x14ac:dyDescent="0.25">
      <c r="A1843"/>
      <c r="B1843"/>
      <c r="C1843"/>
      <c r="D1843"/>
      <c r="E1843"/>
      <c r="F1843"/>
      <c r="G1843"/>
      <c r="H1843"/>
      <c r="I1843"/>
      <c r="J1843"/>
      <c r="K1843"/>
      <c r="L1843"/>
      <c r="M1843"/>
      <c r="N1843"/>
      <c r="O1843"/>
      <c r="P1843"/>
      <c r="Q1843"/>
      <c r="R1843"/>
      <c r="S1843"/>
    </row>
    <row r="1844" spans="1:19" x14ac:dyDescent="0.25">
      <c r="A1844"/>
      <c r="B1844"/>
      <c r="C1844"/>
      <c r="D1844"/>
      <c r="E1844"/>
      <c r="F1844"/>
      <c r="G1844"/>
      <c r="H1844"/>
      <c r="I1844"/>
      <c r="J1844"/>
      <c r="K1844"/>
      <c r="L1844"/>
      <c r="M1844"/>
      <c r="N1844"/>
      <c r="O1844"/>
      <c r="P1844"/>
      <c r="Q1844"/>
      <c r="R1844"/>
      <c r="S1844"/>
    </row>
    <row r="1845" spans="1:19" x14ac:dyDescent="0.25">
      <c r="A1845"/>
      <c r="B1845"/>
      <c r="C1845"/>
      <c r="D1845"/>
      <c r="E1845"/>
      <c r="F1845"/>
      <c r="G1845"/>
      <c r="H1845"/>
      <c r="I1845"/>
      <c r="J1845"/>
      <c r="K1845"/>
      <c r="L1845"/>
      <c r="M1845"/>
      <c r="N1845"/>
      <c r="O1845"/>
      <c r="P1845"/>
      <c r="Q1845"/>
      <c r="R1845"/>
      <c r="S1845"/>
    </row>
    <row r="1846" spans="1:19" x14ac:dyDescent="0.25">
      <c r="A1846"/>
      <c r="B1846"/>
      <c r="C1846"/>
      <c r="D1846"/>
      <c r="E1846"/>
      <c r="F1846"/>
      <c r="G1846"/>
      <c r="H1846"/>
      <c r="I1846"/>
      <c r="J1846"/>
      <c r="K1846"/>
      <c r="L1846"/>
      <c r="M1846"/>
      <c r="N1846"/>
      <c r="O1846"/>
      <c r="P1846"/>
      <c r="Q1846"/>
      <c r="R1846"/>
      <c r="S1846"/>
    </row>
    <row r="1847" spans="1:19" x14ac:dyDescent="0.25">
      <c r="A1847"/>
      <c r="B1847"/>
      <c r="C1847"/>
      <c r="D1847"/>
      <c r="E1847"/>
      <c r="F1847"/>
      <c r="G1847"/>
      <c r="H1847"/>
      <c r="I1847"/>
      <c r="J1847"/>
      <c r="K1847"/>
      <c r="L1847"/>
      <c r="M1847"/>
      <c r="N1847"/>
      <c r="O1847"/>
      <c r="P1847"/>
      <c r="Q1847"/>
      <c r="R1847"/>
      <c r="S1847"/>
    </row>
    <row r="1848" spans="1:19" x14ac:dyDescent="0.25">
      <c r="A1848"/>
      <c r="B1848"/>
      <c r="C1848"/>
      <c r="D1848"/>
      <c r="E1848"/>
      <c r="F1848"/>
      <c r="G1848"/>
      <c r="H1848"/>
      <c r="I1848"/>
      <c r="J1848"/>
      <c r="K1848"/>
      <c r="L1848"/>
      <c r="M1848"/>
      <c r="N1848"/>
      <c r="O1848"/>
      <c r="P1848"/>
      <c r="Q1848"/>
      <c r="R1848"/>
      <c r="S1848"/>
    </row>
    <row r="1849" spans="1:19" x14ac:dyDescent="0.25">
      <c r="A1849"/>
      <c r="B1849"/>
      <c r="C1849"/>
      <c r="D1849"/>
      <c r="E1849"/>
      <c r="F1849"/>
      <c r="G1849"/>
      <c r="H1849"/>
      <c r="I1849"/>
      <c r="J1849"/>
      <c r="K1849"/>
      <c r="L1849"/>
      <c r="M1849"/>
      <c r="N1849"/>
      <c r="O1849"/>
      <c r="P1849"/>
      <c r="Q1849"/>
      <c r="R1849"/>
      <c r="S1849"/>
    </row>
    <row r="1850" spans="1:19" x14ac:dyDescent="0.25">
      <c r="A1850"/>
      <c r="B1850"/>
      <c r="C1850"/>
      <c r="D1850"/>
      <c r="E1850"/>
      <c r="F1850"/>
      <c r="G1850"/>
      <c r="H1850"/>
      <c r="I1850"/>
      <c r="J1850"/>
      <c r="K1850"/>
      <c r="L1850"/>
      <c r="M1850"/>
      <c r="N1850"/>
      <c r="O1850"/>
      <c r="P1850"/>
      <c r="Q1850"/>
      <c r="R1850"/>
      <c r="S1850"/>
    </row>
    <row r="1851" spans="1:19" x14ac:dyDescent="0.25">
      <c r="A1851"/>
      <c r="B1851"/>
      <c r="C1851"/>
      <c r="D1851"/>
      <c r="E1851"/>
      <c r="F1851"/>
      <c r="G1851"/>
      <c r="H1851"/>
      <c r="I1851"/>
      <c r="J1851"/>
      <c r="K1851"/>
      <c r="L1851"/>
      <c r="M1851"/>
      <c r="N1851"/>
      <c r="O1851"/>
      <c r="P1851"/>
      <c r="Q1851"/>
      <c r="R1851"/>
      <c r="S1851"/>
    </row>
    <row r="1852" spans="1:19" x14ac:dyDescent="0.25">
      <c r="A1852"/>
      <c r="B1852"/>
      <c r="C1852"/>
      <c r="D1852"/>
      <c r="E1852"/>
      <c r="F1852"/>
      <c r="G1852"/>
      <c r="H1852"/>
      <c r="I1852"/>
      <c r="J1852"/>
      <c r="K1852"/>
      <c r="L1852"/>
      <c r="M1852"/>
      <c r="N1852"/>
      <c r="O1852"/>
      <c r="P1852"/>
      <c r="Q1852"/>
      <c r="R1852"/>
      <c r="S1852"/>
    </row>
    <row r="1853" spans="1:19" x14ac:dyDescent="0.25">
      <c r="A1853"/>
      <c r="B1853"/>
      <c r="C1853"/>
      <c r="D1853"/>
      <c r="E1853"/>
      <c r="F1853"/>
      <c r="G1853"/>
      <c r="H1853"/>
      <c r="I1853"/>
      <c r="J1853"/>
      <c r="K1853"/>
      <c r="L1853"/>
      <c r="M1853"/>
      <c r="N1853"/>
      <c r="O1853"/>
      <c r="P1853"/>
      <c r="Q1853"/>
      <c r="R1853"/>
      <c r="S1853"/>
    </row>
    <row r="1854" spans="1:19" x14ac:dyDescent="0.25">
      <c r="A1854"/>
      <c r="B1854"/>
      <c r="C1854"/>
      <c r="D1854"/>
      <c r="E1854"/>
      <c r="F1854"/>
      <c r="G1854"/>
      <c r="H1854"/>
      <c r="I1854"/>
      <c r="J1854"/>
      <c r="K1854"/>
      <c r="L1854"/>
      <c r="M1854"/>
      <c r="N1854"/>
      <c r="O1854"/>
      <c r="P1854"/>
      <c r="Q1854"/>
      <c r="R1854"/>
      <c r="S1854"/>
    </row>
    <row r="1855" spans="1:19" x14ac:dyDescent="0.25">
      <c r="A1855"/>
      <c r="B1855"/>
      <c r="C1855"/>
      <c r="D1855"/>
      <c r="E1855"/>
      <c r="F1855"/>
      <c r="G1855"/>
      <c r="H1855"/>
      <c r="I1855"/>
      <c r="J1855"/>
      <c r="K1855"/>
      <c r="L1855"/>
      <c r="M1855"/>
      <c r="N1855"/>
      <c r="O1855"/>
      <c r="P1855"/>
      <c r="Q1855"/>
      <c r="R1855"/>
      <c r="S1855"/>
    </row>
    <row r="1856" spans="1:19" x14ac:dyDescent="0.25">
      <c r="A1856"/>
      <c r="B1856"/>
      <c r="C1856"/>
      <c r="D1856"/>
      <c r="E1856"/>
      <c r="F1856"/>
      <c r="G1856"/>
      <c r="H1856"/>
      <c r="I1856"/>
      <c r="J1856"/>
      <c r="K1856"/>
      <c r="L1856"/>
      <c r="M1856"/>
      <c r="N1856"/>
      <c r="O1856"/>
      <c r="P1856"/>
      <c r="Q1856"/>
      <c r="R1856"/>
      <c r="S1856"/>
    </row>
    <row r="1857" spans="1:19" x14ac:dyDescent="0.25">
      <c r="A1857"/>
      <c r="B1857"/>
      <c r="C1857"/>
      <c r="D1857"/>
      <c r="E1857"/>
      <c r="F1857"/>
      <c r="G1857"/>
      <c r="H1857"/>
      <c r="I1857"/>
      <c r="J1857"/>
      <c r="K1857"/>
      <c r="L1857"/>
      <c r="M1857"/>
      <c r="N1857"/>
      <c r="O1857"/>
      <c r="P1857"/>
      <c r="Q1857"/>
      <c r="R1857"/>
      <c r="S1857"/>
    </row>
    <row r="1858" spans="1:19" x14ac:dyDescent="0.25">
      <c r="A1858"/>
      <c r="B1858"/>
      <c r="C1858"/>
      <c r="D1858"/>
      <c r="E1858"/>
      <c r="F1858"/>
      <c r="G1858"/>
      <c r="H1858"/>
      <c r="I1858"/>
      <c r="J1858"/>
      <c r="K1858"/>
      <c r="L1858"/>
      <c r="M1858"/>
      <c r="N1858"/>
      <c r="O1858"/>
      <c r="P1858"/>
      <c r="Q1858"/>
      <c r="R1858"/>
      <c r="S1858"/>
    </row>
    <row r="1859" spans="1:19" x14ac:dyDescent="0.25">
      <c r="A1859"/>
      <c r="B1859"/>
      <c r="C1859"/>
      <c r="D1859"/>
      <c r="E1859"/>
      <c r="F1859"/>
      <c r="G1859"/>
      <c r="H1859"/>
      <c r="I1859"/>
      <c r="J1859"/>
      <c r="K1859"/>
      <c r="L1859"/>
      <c r="M1859"/>
      <c r="N1859"/>
      <c r="O1859"/>
      <c r="P1859"/>
      <c r="Q1859"/>
      <c r="R1859"/>
      <c r="S1859"/>
    </row>
    <row r="1860" spans="1:19" x14ac:dyDescent="0.25">
      <c r="A1860"/>
      <c r="B1860"/>
      <c r="C1860"/>
      <c r="D1860"/>
      <c r="E1860"/>
      <c r="F1860"/>
      <c r="G1860"/>
      <c r="H1860"/>
      <c r="I1860"/>
      <c r="J1860"/>
      <c r="K1860"/>
      <c r="L1860"/>
      <c r="M1860"/>
      <c r="N1860"/>
      <c r="O1860"/>
      <c r="P1860"/>
      <c r="Q1860"/>
      <c r="R1860"/>
      <c r="S1860"/>
    </row>
    <row r="1861" spans="1:19" x14ac:dyDescent="0.25">
      <c r="A1861"/>
      <c r="B1861"/>
      <c r="C1861"/>
      <c r="D1861"/>
      <c r="E1861"/>
      <c r="F1861"/>
      <c r="G1861"/>
      <c r="H1861"/>
      <c r="I1861"/>
      <c r="J1861"/>
      <c r="K1861"/>
      <c r="L1861"/>
      <c r="M1861"/>
      <c r="N1861"/>
      <c r="O1861"/>
      <c r="P1861"/>
      <c r="Q1861"/>
      <c r="R1861"/>
      <c r="S1861"/>
    </row>
    <row r="1862" spans="1:19" x14ac:dyDescent="0.25">
      <c r="A1862"/>
      <c r="B1862"/>
      <c r="C1862"/>
      <c r="D1862"/>
      <c r="E1862"/>
      <c r="F1862"/>
      <c r="G1862"/>
      <c r="H1862"/>
      <c r="I1862"/>
      <c r="J1862"/>
      <c r="K1862"/>
      <c r="L1862"/>
      <c r="M1862"/>
      <c r="N1862"/>
      <c r="O1862"/>
      <c r="P1862"/>
      <c r="Q1862"/>
      <c r="R1862"/>
      <c r="S1862"/>
    </row>
    <row r="1863" spans="1:19" x14ac:dyDescent="0.25">
      <c r="A1863"/>
      <c r="B1863"/>
      <c r="C1863"/>
      <c r="D1863"/>
      <c r="E1863"/>
      <c r="F1863"/>
      <c r="G1863"/>
      <c r="H1863"/>
      <c r="I1863"/>
      <c r="J1863"/>
      <c r="K1863"/>
      <c r="L1863"/>
      <c r="M1863"/>
      <c r="N1863"/>
      <c r="O1863"/>
      <c r="P1863"/>
      <c r="Q1863"/>
      <c r="R1863"/>
      <c r="S1863"/>
    </row>
    <row r="1864" spans="1:19" x14ac:dyDescent="0.25">
      <c r="A1864"/>
      <c r="B1864"/>
      <c r="C1864"/>
      <c r="D1864"/>
      <c r="E1864"/>
      <c r="F1864"/>
      <c r="G1864"/>
      <c r="H1864"/>
      <c r="I1864"/>
      <c r="J1864"/>
      <c r="K1864"/>
      <c r="L1864"/>
      <c r="M1864"/>
      <c r="N1864"/>
      <c r="O1864"/>
      <c r="P1864"/>
      <c r="Q1864"/>
      <c r="R1864"/>
      <c r="S1864"/>
    </row>
    <row r="1865" spans="1:19" x14ac:dyDescent="0.25">
      <c r="A1865"/>
      <c r="B1865"/>
      <c r="C1865"/>
      <c r="D1865"/>
      <c r="E1865"/>
      <c r="F1865"/>
      <c r="G1865"/>
      <c r="H1865"/>
      <c r="I1865"/>
      <c r="J1865"/>
      <c r="K1865"/>
      <c r="L1865"/>
      <c r="M1865"/>
      <c r="N1865"/>
      <c r="O1865"/>
      <c r="P1865"/>
      <c r="Q1865"/>
      <c r="R1865"/>
      <c r="S1865"/>
    </row>
    <row r="1866" spans="1:19" x14ac:dyDescent="0.25">
      <c r="A1866"/>
      <c r="B1866"/>
      <c r="C1866"/>
      <c r="D1866"/>
      <c r="E1866"/>
      <c r="F1866"/>
      <c r="G1866"/>
      <c r="H1866"/>
      <c r="I1866"/>
      <c r="J1866"/>
      <c r="K1866"/>
      <c r="L1866"/>
      <c r="M1866"/>
      <c r="N1866"/>
      <c r="O1866"/>
      <c r="P1866"/>
      <c r="Q1866"/>
      <c r="R1866"/>
      <c r="S1866"/>
    </row>
    <row r="1867" spans="1:19" x14ac:dyDescent="0.25">
      <c r="A1867"/>
      <c r="B1867"/>
      <c r="C1867"/>
      <c r="D1867"/>
      <c r="E1867"/>
      <c r="F1867"/>
      <c r="G1867"/>
      <c r="H1867"/>
      <c r="I1867"/>
      <c r="J1867"/>
      <c r="K1867"/>
      <c r="L1867"/>
      <c r="M1867"/>
      <c r="N1867"/>
      <c r="O1867"/>
      <c r="P1867"/>
      <c r="Q1867"/>
      <c r="R1867"/>
      <c r="S1867"/>
    </row>
    <row r="1868" spans="1:19" x14ac:dyDescent="0.25">
      <c r="A1868"/>
      <c r="B1868"/>
      <c r="C1868"/>
      <c r="D1868"/>
      <c r="E1868"/>
      <c r="F1868"/>
      <c r="G1868"/>
      <c r="H1868"/>
      <c r="I1868"/>
      <c r="J1868"/>
      <c r="K1868"/>
      <c r="L1868"/>
      <c r="M1868"/>
      <c r="N1868"/>
      <c r="O1868"/>
      <c r="P1868"/>
      <c r="Q1868"/>
      <c r="R1868"/>
      <c r="S1868"/>
    </row>
    <row r="1869" spans="1:19" x14ac:dyDescent="0.25">
      <c r="A1869"/>
      <c r="B1869"/>
      <c r="C1869"/>
      <c r="D1869"/>
      <c r="E1869"/>
      <c r="F1869"/>
      <c r="G1869"/>
      <c r="H1869"/>
      <c r="I1869"/>
      <c r="J1869"/>
      <c r="K1869"/>
      <c r="L1869"/>
      <c r="M1869"/>
      <c r="N1869"/>
      <c r="O1869"/>
      <c r="P1869"/>
      <c r="Q1869"/>
      <c r="R1869"/>
      <c r="S1869"/>
    </row>
    <row r="1870" spans="1:19" x14ac:dyDescent="0.25">
      <c r="A1870"/>
      <c r="B1870"/>
      <c r="C1870"/>
      <c r="D1870"/>
      <c r="E1870"/>
      <c r="F1870"/>
      <c r="G1870"/>
      <c r="H1870"/>
      <c r="I1870"/>
      <c r="J1870"/>
      <c r="K1870"/>
      <c r="L1870"/>
      <c r="M1870"/>
      <c r="N1870"/>
      <c r="O1870"/>
      <c r="P1870"/>
      <c r="Q1870"/>
      <c r="R1870"/>
      <c r="S1870"/>
    </row>
    <row r="1871" spans="1:19" x14ac:dyDescent="0.25">
      <c r="A1871"/>
      <c r="B1871"/>
      <c r="C1871"/>
      <c r="D1871"/>
      <c r="E1871"/>
      <c r="F1871"/>
      <c r="G1871"/>
      <c r="H1871"/>
      <c r="I1871"/>
      <c r="J1871"/>
      <c r="K1871"/>
      <c r="L1871"/>
      <c r="M1871"/>
      <c r="N1871"/>
      <c r="O1871"/>
      <c r="P1871"/>
      <c r="Q1871"/>
      <c r="R1871"/>
      <c r="S1871"/>
    </row>
    <row r="1872" spans="1:19" x14ac:dyDescent="0.25">
      <c r="A1872"/>
      <c r="B1872"/>
      <c r="C1872"/>
      <c r="D1872"/>
      <c r="E1872"/>
      <c r="F1872"/>
      <c r="G1872"/>
      <c r="H1872"/>
      <c r="I1872"/>
      <c r="J1872"/>
      <c r="K1872"/>
      <c r="L1872"/>
      <c r="M1872"/>
      <c r="N1872"/>
      <c r="O1872"/>
      <c r="P1872"/>
      <c r="Q1872"/>
      <c r="R1872"/>
      <c r="S1872"/>
    </row>
    <row r="1873" spans="1:19" x14ac:dyDescent="0.25">
      <c r="A1873"/>
      <c r="B1873"/>
      <c r="C1873"/>
      <c r="D1873"/>
      <c r="E1873"/>
      <c r="F1873"/>
      <c r="G1873"/>
      <c r="H1873"/>
      <c r="I1873"/>
      <c r="J1873"/>
      <c r="K1873"/>
      <c r="L1873"/>
      <c r="M1873"/>
      <c r="N1873"/>
      <c r="O1873"/>
      <c r="P1873"/>
      <c r="Q1873"/>
      <c r="R1873"/>
      <c r="S1873"/>
    </row>
    <row r="1874" spans="1:19" x14ac:dyDescent="0.25">
      <c r="A1874"/>
      <c r="B1874"/>
      <c r="C1874"/>
      <c r="D1874"/>
      <c r="E1874"/>
      <c r="F1874"/>
      <c r="G1874"/>
      <c r="H1874"/>
      <c r="I1874"/>
      <c r="J1874"/>
      <c r="K1874"/>
      <c r="L1874"/>
      <c r="M1874"/>
      <c r="N1874"/>
      <c r="O1874"/>
      <c r="P1874"/>
      <c r="Q1874"/>
      <c r="R1874"/>
      <c r="S1874"/>
    </row>
    <row r="1875" spans="1:19" x14ac:dyDescent="0.25">
      <c r="A1875"/>
      <c r="B1875"/>
      <c r="C1875"/>
      <c r="D1875"/>
      <c r="E1875"/>
      <c r="F1875"/>
      <c r="G1875"/>
      <c r="H1875"/>
      <c r="I1875"/>
      <c r="J1875"/>
      <c r="K1875"/>
      <c r="L1875"/>
      <c r="M1875"/>
      <c r="N1875"/>
      <c r="O1875"/>
      <c r="P1875"/>
      <c r="Q1875"/>
      <c r="R1875"/>
      <c r="S1875"/>
    </row>
    <row r="1876" spans="1:19" x14ac:dyDescent="0.25">
      <c r="A1876"/>
      <c r="B1876"/>
      <c r="C1876"/>
      <c r="D1876"/>
      <c r="E1876"/>
      <c r="F1876"/>
      <c r="G1876"/>
      <c r="H1876"/>
      <c r="I1876"/>
      <c r="J1876"/>
      <c r="K1876"/>
      <c r="L1876"/>
      <c r="M1876"/>
      <c r="N1876"/>
      <c r="O1876"/>
      <c r="P1876"/>
      <c r="Q1876"/>
      <c r="R1876"/>
      <c r="S1876"/>
    </row>
    <row r="1877" spans="1:19" x14ac:dyDescent="0.25">
      <c r="A1877"/>
      <c r="B1877"/>
      <c r="C1877"/>
      <c r="D1877"/>
      <c r="E1877"/>
      <c r="F1877"/>
      <c r="G1877"/>
      <c r="H1877"/>
      <c r="I1877"/>
      <c r="J1877"/>
      <c r="K1877"/>
      <c r="L1877"/>
      <c r="M1877"/>
      <c r="N1877"/>
      <c r="O1877"/>
      <c r="P1877"/>
      <c r="Q1877"/>
      <c r="R1877"/>
      <c r="S1877"/>
    </row>
    <row r="1878" spans="1:19" x14ac:dyDescent="0.25">
      <c r="A1878"/>
      <c r="B1878"/>
      <c r="C1878"/>
      <c r="D1878"/>
      <c r="E1878"/>
      <c r="F1878"/>
      <c r="G1878"/>
      <c r="H1878"/>
      <c r="I1878"/>
      <c r="J1878"/>
      <c r="K1878"/>
      <c r="L1878"/>
      <c r="M1878"/>
      <c r="N1878"/>
      <c r="O1878"/>
      <c r="P1878"/>
      <c r="Q1878"/>
      <c r="R1878"/>
      <c r="S1878"/>
    </row>
    <row r="1879" spans="1:19" x14ac:dyDescent="0.25">
      <c r="A1879"/>
      <c r="B1879"/>
      <c r="C1879"/>
      <c r="D1879"/>
      <c r="E1879"/>
      <c r="F1879"/>
      <c r="G1879"/>
      <c r="H1879"/>
      <c r="I1879"/>
      <c r="J1879"/>
      <c r="K1879"/>
      <c r="L1879"/>
      <c r="M1879"/>
      <c r="N1879"/>
      <c r="O1879"/>
      <c r="P1879"/>
      <c r="Q1879"/>
      <c r="R1879"/>
      <c r="S1879"/>
    </row>
    <row r="1880" spans="1:19" x14ac:dyDescent="0.25">
      <c r="A1880"/>
      <c r="B1880"/>
      <c r="C1880"/>
      <c r="D1880"/>
      <c r="E1880"/>
      <c r="F1880"/>
      <c r="G1880"/>
      <c r="H1880"/>
      <c r="I1880"/>
      <c r="J1880"/>
      <c r="K1880"/>
      <c r="L1880"/>
      <c r="M1880"/>
      <c r="N1880"/>
      <c r="O1880"/>
      <c r="P1880"/>
      <c r="Q1880"/>
      <c r="R1880"/>
      <c r="S1880"/>
    </row>
    <row r="1881" spans="1:19" x14ac:dyDescent="0.25">
      <c r="A1881"/>
      <c r="B1881"/>
      <c r="C1881"/>
      <c r="D1881"/>
      <c r="E1881"/>
      <c r="F1881"/>
      <c r="G1881"/>
      <c r="H1881"/>
      <c r="I1881"/>
      <c r="J1881"/>
      <c r="K1881"/>
      <c r="L1881"/>
      <c r="M1881"/>
      <c r="N1881"/>
      <c r="O1881"/>
      <c r="P1881"/>
      <c r="Q1881"/>
      <c r="R1881"/>
      <c r="S1881"/>
    </row>
    <row r="1882" spans="1:19" x14ac:dyDescent="0.25">
      <c r="A1882"/>
      <c r="B1882"/>
      <c r="C1882"/>
      <c r="D1882"/>
      <c r="E1882"/>
      <c r="F1882"/>
      <c r="G1882"/>
      <c r="H1882"/>
      <c r="I1882"/>
      <c r="J1882"/>
      <c r="K1882"/>
      <c r="L1882"/>
      <c r="M1882"/>
      <c r="N1882"/>
      <c r="O1882"/>
      <c r="P1882"/>
      <c r="Q1882"/>
      <c r="R1882"/>
      <c r="S1882"/>
    </row>
    <row r="1883" spans="1:19" x14ac:dyDescent="0.25">
      <c r="A1883"/>
      <c r="B1883"/>
      <c r="C1883"/>
      <c r="D1883"/>
      <c r="E1883"/>
      <c r="F1883"/>
      <c r="G1883"/>
      <c r="H1883"/>
      <c r="I1883"/>
      <c r="J1883"/>
      <c r="K1883"/>
      <c r="L1883"/>
      <c r="M1883"/>
      <c r="N1883"/>
      <c r="O1883"/>
      <c r="P1883"/>
      <c r="Q1883"/>
      <c r="R1883"/>
      <c r="S1883"/>
    </row>
    <row r="1884" spans="1:19" x14ac:dyDescent="0.25">
      <c r="A1884"/>
      <c r="B1884"/>
      <c r="C1884"/>
      <c r="D1884"/>
      <c r="E1884"/>
      <c r="F1884"/>
      <c r="G1884"/>
      <c r="H1884"/>
      <c r="I1884"/>
      <c r="J1884"/>
      <c r="K1884"/>
      <c r="L1884"/>
      <c r="M1884"/>
      <c r="N1884"/>
      <c r="O1884"/>
      <c r="P1884"/>
      <c r="Q1884"/>
      <c r="R1884"/>
      <c r="S1884"/>
    </row>
    <row r="1885" spans="1:19" x14ac:dyDescent="0.25">
      <c r="A1885"/>
      <c r="B1885"/>
      <c r="C1885"/>
      <c r="D1885"/>
      <c r="E1885"/>
      <c r="F1885"/>
      <c r="G1885"/>
      <c r="H1885"/>
      <c r="I1885"/>
      <c r="J1885"/>
      <c r="K1885"/>
      <c r="L1885"/>
      <c r="M1885"/>
      <c r="N1885"/>
      <c r="O1885"/>
      <c r="P1885"/>
      <c r="Q1885"/>
      <c r="R1885"/>
      <c r="S1885"/>
    </row>
    <row r="1886" spans="1:19" x14ac:dyDescent="0.25">
      <c r="A1886"/>
      <c r="B1886"/>
      <c r="C1886"/>
      <c r="D1886"/>
      <c r="E1886"/>
      <c r="F1886"/>
      <c r="G1886"/>
      <c r="H1886"/>
      <c r="I1886"/>
      <c r="J1886"/>
      <c r="K1886"/>
      <c r="L1886"/>
      <c r="M1886"/>
      <c r="N1886"/>
      <c r="O1886"/>
      <c r="P1886"/>
      <c r="Q1886"/>
      <c r="R1886"/>
      <c r="S1886"/>
    </row>
    <row r="1887" spans="1:19" x14ac:dyDescent="0.25">
      <c r="A1887"/>
      <c r="B1887"/>
      <c r="C1887"/>
      <c r="D1887"/>
      <c r="E1887"/>
      <c r="F1887"/>
      <c r="G1887"/>
      <c r="H1887"/>
      <c r="I1887"/>
      <c r="J1887"/>
      <c r="K1887"/>
      <c r="L1887"/>
      <c r="M1887"/>
      <c r="N1887"/>
      <c r="O1887"/>
      <c r="P1887"/>
      <c r="Q1887"/>
      <c r="R1887"/>
      <c r="S1887"/>
    </row>
    <row r="1888" spans="1:19" x14ac:dyDescent="0.25">
      <c r="A1888"/>
      <c r="B1888"/>
      <c r="C1888"/>
      <c r="D1888"/>
      <c r="E1888"/>
      <c r="F1888"/>
      <c r="G1888"/>
      <c r="H1888"/>
      <c r="I1888"/>
      <c r="J1888"/>
      <c r="K1888"/>
      <c r="L1888"/>
      <c r="M1888"/>
      <c r="N1888"/>
      <c r="O1888"/>
      <c r="P1888"/>
      <c r="Q1888"/>
      <c r="R1888"/>
      <c r="S1888"/>
    </row>
    <row r="1889" spans="1:19" x14ac:dyDescent="0.25">
      <c r="A1889"/>
      <c r="B1889"/>
      <c r="C1889"/>
      <c r="D1889"/>
      <c r="E1889"/>
      <c r="F1889"/>
      <c r="G1889"/>
      <c r="H1889"/>
      <c r="I1889"/>
      <c r="J1889"/>
      <c r="K1889"/>
      <c r="L1889"/>
      <c r="M1889"/>
      <c r="N1889"/>
      <c r="O1889"/>
      <c r="P1889"/>
      <c r="Q1889"/>
      <c r="R1889"/>
      <c r="S1889"/>
    </row>
    <row r="1890" spans="1:19" x14ac:dyDescent="0.25">
      <c r="A1890"/>
      <c r="B1890"/>
      <c r="C1890"/>
      <c r="D1890"/>
      <c r="E1890"/>
      <c r="F1890"/>
      <c r="G1890"/>
      <c r="H1890"/>
      <c r="I1890"/>
      <c r="J1890"/>
      <c r="K1890"/>
      <c r="L1890"/>
      <c r="M1890"/>
      <c r="N1890"/>
      <c r="O1890"/>
      <c r="P1890"/>
      <c r="Q1890"/>
      <c r="R1890"/>
      <c r="S1890"/>
    </row>
    <row r="1891" spans="1:19" x14ac:dyDescent="0.25">
      <c r="A1891"/>
      <c r="B1891"/>
      <c r="C1891"/>
      <c r="D1891"/>
      <c r="E1891"/>
      <c r="F1891"/>
      <c r="G1891"/>
      <c r="H1891"/>
      <c r="I1891"/>
      <c r="J1891"/>
      <c r="K1891"/>
      <c r="L1891"/>
      <c r="M1891"/>
      <c r="N1891"/>
      <c r="O1891"/>
      <c r="P1891"/>
      <c r="Q1891"/>
      <c r="R1891"/>
      <c r="S1891"/>
    </row>
    <row r="1892" spans="1:19" x14ac:dyDescent="0.25">
      <c r="A1892"/>
      <c r="B1892"/>
      <c r="C1892"/>
      <c r="D1892"/>
      <c r="E1892"/>
      <c r="F1892"/>
      <c r="G1892"/>
      <c r="H1892"/>
      <c r="I1892"/>
      <c r="J1892"/>
      <c r="K1892"/>
      <c r="L1892"/>
      <c r="M1892"/>
      <c r="N1892"/>
      <c r="O1892"/>
      <c r="P1892"/>
      <c r="Q1892"/>
      <c r="R1892"/>
      <c r="S1892"/>
    </row>
    <row r="1893" spans="1:19" x14ac:dyDescent="0.25">
      <c r="A1893"/>
      <c r="B1893"/>
      <c r="C1893"/>
      <c r="D1893"/>
      <c r="E1893"/>
      <c r="F1893"/>
      <c r="G1893"/>
      <c r="H1893"/>
      <c r="I1893"/>
      <c r="J1893"/>
      <c r="K1893"/>
      <c r="L1893"/>
      <c r="M1893"/>
      <c r="N1893"/>
      <c r="O1893"/>
      <c r="P1893"/>
      <c r="Q1893"/>
      <c r="R1893"/>
      <c r="S1893"/>
    </row>
    <row r="1894" spans="1:19" x14ac:dyDescent="0.25">
      <c r="A1894"/>
      <c r="B1894"/>
      <c r="C1894"/>
      <c r="D1894"/>
      <c r="E1894"/>
      <c r="F1894"/>
      <c r="G1894"/>
      <c r="H1894"/>
      <c r="I1894"/>
      <c r="J1894"/>
      <c r="K1894"/>
      <c r="L1894"/>
      <c r="M1894"/>
      <c r="N1894"/>
      <c r="O1894"/>
      <c r="P1894"/>
      <c r="Q1894"/>
      <c r="R1894"/>
      <c r="S1894"/>
    </row>
    <row r="1895" spans="1:19" x14ac:dyDescent="0.25">
      <c r="A1895"/>
      <c r="B1895"/>
      <c r="C1895"/>
      <c r="D1895"/>
      <c r="E1895"/>
      <c r="F1895"/>
      <c r="G1895"/>
      <c r="H1895"/>
      <c r="I1895"/>
      <c r="J1895"/>
      <c r="K1895"/>
      <c r="L1895"/>
      <c r="M1895"/>
      <c r="N1895"/>
      <c r="O1895"/>
      <c r="P1895"/>
      <c r="Q1895"/>
      <c r="R1895"/>
      <c r="S1895"/>
    </row>
    <row r="1896" spans="1:19" x14ac:dyDescent="0.25">
      <c r="A1896"/>
      <c r="B1896"/>
      <c r="C1896"/>
      <c r="D1896"/>
      <c r="E1896"/>
      <c r="F1896"/>
      <c r="G1896"/>
      <c r="H1896"/>
      <c r="I1896"/>
      <c r="J1896"/>
      <c r="K1896"/>
      <c r="L1896"/>
      <c r="M1896"/>
      <c r="N1896"/>
      <c r="O1896"/>
      <c r="P1896"/>
      <c r="Q1896"/>
      <c r="R1896"/>
      <c r="S1896"/>
    </row>
    <row r="1897" spans="1:19" x14ac:dyDescent="0.25">
      <c r="A1897"/>
      <c r="B1897"/>
      <c r="C1897"/>
      <c r="D1897"/>
      <c r="E1897"/>
      <c r="F1897"/>
      <c r="G1897"/>
      <c r="H1897"/>
      <c r="I1897"/>
      <c r="J1897"/>
      <c r="K1897"/>
      <c r="L1897"/>
      <c r="M1897"/>
      <c r="N1897"/>
      <c r="O1897"/>
      <c r="P1897"/>
      <c r="Q1897"/>
      <c r="R1897"/>
      <c r="S1897"/>
    </row>
    <row r="1898" spans="1:19" x14ac:dyDescent="0.25">
      <c r="A1898"/>
      <c r="B1898"/>
      <c r="C1898"/>
      <c r="D1898"/>
      <c r="E1898"/>
      <c r="F1898"/>
      <c r="G1898"/>
      <c r="H1898"/>
      <c r="I1898"/>
      <c r="J1898"/>
      <c r="K1898"/>
      <c r="L1898"/>
      <c r="M1898"/>
      <c r="N1898"/>
      <c r="O1898"/>
      <c r="P1898"/>
      <c r="Q1898"/>
      <c r="R1898"/>
      <c r="S1898"/>
    </row>
    <row r="1899" spans="1:19" x14ac:dyDescent="0.25">
      <c r="A1899"/>
      <c r="B1899"/>
      <c r="C1899"/>
      <c r="D1899"/>
      <c r="E1899"/>
      <c r="F1899"/>
      <c r="G1899"/>
      <c r="H1899"/>
      <c r="I1899"/>
      <c r="J1899"/>
      <c r="K1899"/>
      <c r="L1899"/>
      <c r="M1899"/>
      <c r="N1899"/>
      <c r="O1899"/>
      <c r="P1899"/>
      <c r="Q1899"/>
      <c r="R1899"/>
      <c r="S1899"/>
    </row>
    <row r="1900" spans="1:19" x14ac:dyDescent="0.25">
      <c r="A1900"/>
      <c r="B1900"/>
      <c r="C1900"/>
      <c r="D1900"/>
      <c r="E1900"/>
      <c r="F1900"/>
      <c r="G1900"/>
      <c r="H1900"/>
      <c r="I1900"/>
      <c r="J1900"/>
      <c r="K1900"/>
      <c r="L1900"/>
      <c r="M1900"/>
      <c r="N1900"/>
      <c r="O1900"/>
      <c r="P1900"/>
      <c r="Q1900"/>
      <c r="R1900"/>
      <c r="S1900"/>
    </row>
    <row r="1901" spans="1:19" x14ac:dyDescent="0.25">
      <c r="A1901"/>
      <c r="B1901"/>
      <c r="C1901"/>
      <c r="D1901"/>
      <c r="E1901"/>
      <c r="F1901"/>
      <c r="G1901"/>
      <c r="H1901"/>
      <c r="I1901"/>
      <c r="J1901"/>
      <c r="K1901"/>
      <c r="L1901"/>
      <c r="M1901"/>
      <c r="N1901"/>
      <c r="O1901"/>
      <c r="P1901"/>
      <c r="Q1901"/>
      <c r="R1901"/>
      <c r="S1901"/>
    </row>
    <row r="1902" spans="1:19" x14ac:dyDescent="0.25">
      <c r="A1902"/>
      <c r="B1902"/>
      <c r="C1902"/>
      <c r="D1902"/>
      <c r="E1902"/>
      <c r="F1902"/>
      <c r="G1902"/>
      <c r="H1902"/>
      <c r="I1902"/>
      <c r="J1902"/>
      <c r="K1902"/>
      <c r="L1902"/>
      <c r="M1902"/>
      <c r="N1902"/>
      <c r="O1902"/>
      <c r="P1902"/>
      <c r="Q1902"/>
      <c r="R1902"/>
      <c r="S1902"/>
    </row>
    <row r="1903" spans="1:19" x14ac:dyDescent="0.25">
      <c r="A1903"/>
      <c r="B1903"/>
      <c r="C1903"/>
      <c r="D1903"/>
      <c r="E1903"/>
      <c r="F1903"/>
      <c r="G1903"/>
      <c r="H1903"/>
      <c r="I1903"/>
      <c r="J1903"/>
      <c r="K1903"/>
      <c r="L1903"/>
      <c r="M1903"/>
      <c r="N1903"/>
      <c r="O1903"/>
      <c r="P1903"/>
      <c r="Q1903"/>
      <c r="R1903"/>
      <c r="S1903"/>
    </row>
    <row r="1904" spans="1:19" x14ac:dyDescent="0.25">
      <c r="A1904"/>
      <c r="B1904"/>
      <c r="C1904"/>
      <c r="D1904"/>
      <c r="E1904"/>
      <c r="F1904"/>
      <c r="G1904"/>
      <c r="H1904"/>
      <c r="I1904"/>
      <c r="J1904"/>
      <c r="K1904"/>
      <c r="L1904"/>
      <c r="M1904"/>
      <c r="N1904"/>
      <c r="O1904"/>
      <c r="P1904"/>
      <c r="Q1904"/>
      <c r="R1904"/>
      <c r="S1904"/>
    </row>
    <row r="1905" spans="1:19" x14ac:dyDescent="0.25">
      <c r="A1905"/>
      <c r="B1905"/>
      <c r="C1905"/>
      <c r="D1905"/>
      <c r="E1905"/>
      <c r="F1905"/>
      <c r="G1905"/>
      <c r="H1905"/>
      <c r="I1905"/>
      <c r="J1905"/>
      <c r="K1905"/>
      <c r="L1905"/>
      <c r="M1905"/>
      <c r="N1905"/>
      <c r="O1905"/>
      <c r="P1905"/>
      <c r="Q1905"/>
      <c r="R1905"/>
      <c r="S1905"/>
    </row>
    <row r="1906" spans="1:19" x14ac:dyDescent="0.25">
      <c r="A1906"/>
      <c r="B1906"/>
      <c r="C1906"/>
      <c r="D1906"/>
      <c r="E1906"/>
      <c r="F1906"/>
      <c r="G1906"/>
      <c r="H1906"/>
      <c r="I1906"/>
      <c r="J1906"/>
      <c r="K1906"/>
      <c r="L1906"/>
      <c r="M1906"/>
      <c r="N1906"/>
      <c r="O1906"/>
      <c r="P1906"/>
      <c r="Q1906"/>
      <c r="R1906"/>
      <c r="S1906"/>
    </row>
    <row r="1907" spans="1:19" x14ac:dyDescent="0.25">
      <c r="A1907"/>
      <c r="B1907"/>
      <c r="C1907"/>
      <c r="D1907"/>
      <c r="E1907"/>
      <c r="F1907"/>
      <c r="G1907"/>
      <c r="H1907"/>
      <c r="I1907"/>
      <c r="J1907"/>
      <c r="K1907"/>
      <c r="L1907"/>
      <c r="M1907"/>
      <c r="N1907"/>
      <c r="O1907"/>
      <c r="P1907"/>
      <c r="Q1907"/>
      <c r="R1907"/>
      <c r="S1907"/>
    </row>
    <row r="1908" spans="1:19" x14ac:dyDescent="0.25">
      <c r="A1908"/>
      <c r="B1908"/>
      <c r="C1908"/>
      <c r="D1908"/>
      <c r="E1908"/>
      <c r="F1908"/>
      <c r="G1908"/>
      <c r="H1908"/>
      <c r="I1908"/>
      <c r="J1908"/>
      <c r="K1908"/>
      <c r="L1908"/>
      <c r="M1908"/>
      <c r="N1908"/>
      <c r="O1908"/>
      <c r="P1908"/>
      <c r="Q1908"/>
      <c r="R1908"/>
      <c r="S1908"/>
    </row>
    <row r="1909" spans="1:19" x14ac:dyDescent="0.25">
      <c r="A1909"/>
      <c r="B1909"/>
      <c r="C1909"/>
      <c r="D1909"/>
      <c r="E1909"/>
      <c r="F1909"/>
      <c r="G1909"/>
      <c r="H1909"/>
      <c r="I1909"/>
      <c r="J1909"/>
      <c r="K1909"/>
      <c r="L1909"/>
      <c r="M1909"/>
      <c r="N1909"/>
      <c r="O1909"/>
      <c r="P1909"/>
      <c r="Q1909"/>
      <c r="R1909"/>
      <c r="S1909"/>
    </row>
    <row r="1910" spans="1:19" x14ac:dyDescent="0.25">
      <c r="A1910"/>
      <c r="B1910"/>
      <c r="C1910"/>
      <c r="D1910"/>
      <c r="E1910"/>
      <c r="F1910"/>
      <c r="G1910"/>
      <c r="H1910"/>
      <c r="I1910"/>
      <c r="J1910"/>
      <c r="K1910"/>
      <c r="L1910"/>
      <c r="M1910"/>
      <c r="N1910"/>
      <c r="O1910"/>
      <c r="P1910"/>
      <c r="Q1910"/>
      <c r="R1910"/>
      <c r="S1910"/>
    </row>
    <row r="1911" spans="1:19" x14ac:dyDescent="0.25">
      <c r="A1911"/>
      <c r="B1911"/>
      <c r="C1911"/>
      <c r="D1911"/>
      <c r="E1911"/>
      <c r="F1911"/>
      <c r="G1911"/>
      <c r="H1911"/>
      <c r="I1911"/>
      <c r="J1911"/>
      <c r="K1911"/>
      <c r="L1911"/>
      <c r="M1911"/>
      <c r="N1911"/>
      <c r="O1911"/>
      <c r="P1911"/>
      <c r="Q1911"/>
      <c r="R1911"/>
      <c r="S1911"/>
    </row>
    <row r="1912" spans="1:19" x14ac:dyDescent="0.25">
      <c r="A1912"/>
      <c r="B1912"/>
      <c r="C1912"/>
      <c r="D1912"/>
      <c r="E1912"/>
      <c r="F1912"/>
      <c r="G1912"/>
      <c r="H1912"/>
      <c r="I1912"/>
      <c r="J1912"/>
      <c r="K1912"/>
      <c r="L1912"/>
      <c r="M1912"/>
      <c r="N1912"/>
      <c r="O1912"/>
      <c r="P1912"/>
      <c r="Q1912"/>
      <c r="R1912"/>
      <c r="S1912"/>
    </row>
    <row r="1913" spans="1:19" x14ac:dyDescent="0.25">
      <c r="A1913"/>
      <c r="B1913"/>
      <c r="C1913"/>
      <c r="D1913"/>
      <c r="E1913"/>
      <c r="F1913"/>
      <c r="G1913"/>
      <c r="H1913"/>
      <c r="I1913"/>
      <c r="J1913"/>
      <c r="K1913"/>
      <c r="L1913"/>
      <c r="M1913"/>
      <c r="N1913"/>
      <c r="O1913"/>
      <c r="P1913"/>
      <c r="Q1913"/>
      <c r="R1913"/>
      <c r="S1913"/>
    </row>
    <row r="1914" spans="1:19" x14ac:dyDescent="0.25">
      <c r="A1914"/>
      <c r="B1914"/>
      <c r="C1914"/>
      <c r="D1914"/>
      <c r="E1914"/>
      <c r="F1914"/>
      <c r="G1914"/>
      <c r="H1914"/>
      <c r="I1914"/>
      <c r="J1914"/>
      <c r="K1914"/>
      <c r="L1914"/>
      <c r="M1914"/>
      <c r="N1914"/>
      <c r="O1914"/>
      <c r="P1914"/>
      <c r="Q1914"/>
      <c r="R1914"/>
      <c r="S1914"/>
    </row>
    <row r="1915" spans="1:19" x14ac:dyDescent="0.25">
      <c r="A1915"/>
      <c r="B1915"/>
      <c r="C1915"/>
      <c r="D1915"/>
      <c r="E1915"/>
      <c r="F1915"/>
      <c r="G1915"/>
      <c r="H1915"/>
      <c r="I1915"/>
      <c r="J1915"/>
      <c r="K1915"/>
      <c r="L1915"/>
      <c r="M1915"/>
      <c r="N1915"/>
      <c r="O1915"/>
      <c r="P1915"/>
      <c r="Q1915"/>
      <c r="R1915"/>
      <c r="S1915"/>
    </row>
    <row r="1916" spans="1:19" x14ac:dyDescent="0.25">
      <c r="A1916"/>
      <c r="B1916"/>
      <c r="C1916"/>
      <c r="D1916"/>
      <c r="E1916"/>
      <c r="F1916"/>
      <c r="G1916"/>
      <c r="H1916"/>
      <c r="I1916"/>
      <c r="J1916"/>
      <c r="K1916"/>
      <c r="L1916"/>
      <c r="M1916"/>
      <c r="N1916"/>
      <c r="O1916"/>
      <c r="P1916"/>
      <c r="Q1916"/>
      <c r="R1916"/>
      <c r="S1916"/>
    </row>
    <row r="1917" spans="1:19" x14ac:dyDescent="0.25">
      <c r="A1917"/>
      <c r="B1917"/>
      <c r="C1917"/>
      <c r="D1917"/>
      <c r="E1917"/>
      <c r="F1917"/>
      <c r="G1917"/>
      <c r="H1917"/>
      <c r="I1917"/>
      <c r="J1917"/>
      <c r="K1917"/>
      <c r="L1917"/>
      <c r="M1917"/>
      <c r="N1917"/>
      <c r="O1917"/>
      <c r="P1917"/>
      <c r="Q1917"/>
      <c r="R1917"/>
      <c r="S1917"/>
    </row>
    <row r="1918" spans="1:19" x14ac:dyDescent="0.25">
      <c r="A1918"/>
      <c r="B1918"/>
      <c r="C1918"/>
      <c r="D1918"/>
      <c r="E1918"/>
      <c r="F1918"/>
      <c r="G1918"/>
      <c r="H1918"/>
      <c r="I1918"/>
      <c r="J1918"/>
      <c r="K1918"/>
      <c r="L1918"/>
      <c r="M1918"/>
      <c r="N1918"/>
      <c r="O1918"/>
      <c r="P1918"/>
      <c r="Q1918"/>
      <c r="R1918"/>
      <c r="S1918"/>
    </row>
    <row r="1919" spans="1:19" x14ac:dyDescent="0.25">
      <c r="A1919"/>
      <c r="B1919"/>
      <c r="C1919"/>
      <c r="D1919"/>
      <c r="E1919"/>
      <c r="F1919"/>
      <c r="G1919"/>
      <c r="H1919"/>
      <c r="I1919"/>
      <c r="J1919"/>
      <c r="K1919"/>
      <c r="L1919"/>
      <c r="M1919"/>
      <c r="N1919"/>
      <c r="O1919"/>
      <c r="P1919"/>
      <c r="Q1919"/>
      <c r="R1919"/>
      <c r="S1919"/>
    </row>
    <row r="1920" spans="1:19" x14ac:dyDescent="0.25">
      <c r="A1920"/>
      <c r="B1920"/>
      <c r="C1920"/>
      <c r="D1920"/>
      <c r="E1920"/>
      <c r="F1920"/>
      <c r="G1920"/>
      <c r="H1920"/>
      <c r="I1920"/>
      <c r="J1920"/>
      <c r="K1920"/>
      <c r="L1920"/>
      <c r="M1920"/>
      <c r="N1920"/>
      <c r="O1920"/>
      <c r="P1920"/>
      <c r="Q1920"/>
      <c r="R1920"/>
      <c r="S1920"/>
    </row>
    <row r="1921" spans="1:19" x14ac:dyDescent="0.25">
      <c r="A1921"/>
      <c r="B1921"/>
      <c r="C1921"/>
      <c r="D1921"/>
      <c r="E1921"/>
      <c r="F1921"/>
      <c r="G1921"/>
      <c r="H1921"/>
      <c r="I1921"/>
      <c r="J1921"/>
      <c r="K1921"/>
      <c r="L1921"/>
      <c r="M1921"/>
      <c r="N1921"/>
      <c r="O1921"/>
      <c r="P1921"/>
      <c r="Q1921"/>
      <c r="R1921"/>
      <c r="S1921"/>
    </row>
    <row r="1922" spans="1:19" x14ac:dyDescent="0.25">
      <c r="A1922"/>
      <c r="B1922"/>
      <c r="C1922"/>
      <c r="D1922"/>
      <c r="E1922"/>
      <c r="F1922"/>
      <c r="G1922"/>
      <c r="H1922"/>
      <c r="I1922"/>
      <c r="J1922"/>
      <c r="K1922"/>
      <c r="L1922"/>
      <c r="M1922"/>
      <c r="N1922"/>
      <c r="O1922"/>
      <c r="P1922"/>
      <c r="Q1922"/>
      <c r="R1922"/>
      <c r="S1922"/>
    </row>
    <row r="1923" spans="1:19" x14ac:dyDescent="0.25">
      <c r="A1923"/>
      <c r="B1923"/>
      <c r="C1923"/>
      <c r="D1923"/>
      <c r="E1923"/>
      <c r="F1923"/>
      <c r="G1923"/>
      <c r="H1923"/>
      <c r="I1923"/>
      <c r="J1923"/>
      <c r="K1923"/>
      <c r="L1923"/>
      <c r="M1923"/>
      <c r="N1923"/>
      <c r="O1923"/>
      <c r="P1923"/>
      <c r="Q1923"/>
      <c r="R1923"/>
      <c r="S1923"/>
    </row>
    <row r="1924" spans="1:19" x14ac:dyDescent="0.25">
      <c r="A1924"/>
      <c r="B1924"/>
      <c r="C1924"/>
      <c r="D1924"/>
      <c r="E1924"/>
      <c r="F1924"/>
      <c r="G1924"/>
      <c r="H1924"/>
      <c r="I1924"/>
      <c r="J1924"/>
      <c r="K1924"/>
      <c r="L1924"/>
      <c r="M1924"/>
      <c r="N1924"/>
      <c r="O1924"/>
      <c r="P1924"/>
      <c r="Q1924"/>
      <c r="R1924"/>
      <c r="S1924"/>
    </row>
    <row r="1925" spans="1:19" x14ac:dyDescent="0.25">
      <c r="A1925"/>
      <c r="B1925"/>
      <c r="C1925"/>
      <c r="D1925"/>
      <c r="E1925"/>
      <c r="F1925"/>
      <c r="G1925"/>
      <c r="H1925"/>
      <c r="I1925"/>
      <c r="J1925"/>
      <c r="K1925"/>
      <c r="L1925"/>
      <c r="M1925"/>
      <c r="N1925"/>
      <c r="O1925"/>
      <c r="P1925"/>
      <c r="Q1925"/>
      <c r="R1925"/>
      <c r="S1925"/>
    </row>
    <row r="1926" spans="1:19" x14ac:dyDescent="0.25">
      <c r="A1926"/>
      <c r="B1926"/>
      <c r="C1926"/>
      <c r="D1926"/>
      <c r="E1926"/>
      <c r="F1926"/>
      <c r="G1926"/>
      <c r="H1926"/>
      <c r="I1926"/>
      <c r="J1926"/>
      <c r="K1926"/>
      <c r="L1926"/>
      <c r="M1926"/>
      <c r="N1926"/>
      <c r="O1926"/>
      <c r="P1926"/>
      <c r="Q1926"/>
      <c r="R1926"/>
      <c r="S1926"/>
    </row>
    <row r="1927" spans="1:19" x14ac:dyDescent="0.25">
      <c r="A1927"/>
      <c r="B1927"/>
      <c r="C1927"/>
      <c r="D1927"/>
      <c r="E1927"/>
      <c r="F1927"/>
      <c r="G1927"/>
      <c r="H1927"/>
      <c r="I1927"/>
      <c r="J1927"/>
      <c r="K1927"/>
      <c r="L1927"/>
      <c r="M1927"/>
      <c r="N1927"/>
      <c r="O1927"/>
      <c r="P1927"/>
      <c r="Q1927"/>
      <c r="R1927"/>
      <c r="S1927"/>
    </row>
    <row r="1928" spans="1:19" x14ac:dyDescent="0.25">
      <c r="A1928"/>
      <c r="B1928"/>
      <c r="C1928"/>
      <c r="D1928"/>
      <c r="E1928"/>
      <c r="F1928"/>
      <c r="G1928"/>
      <c r="H1928"/>
      <c r="I1928"/>
      <c r="J1928"/>
      <c r="K1928"/>
      <c r="L1928"/>
      <c r="M1928"/>
      <c r="N1928"/>
      <c r="O1928"/>
      <c r="P1928"/>
      <c r="Q1928"/>
      <c r="R1928"/>
      <c r="S1928"/>
    </row>
    <row r="1929" spans="1:19" x14ac:dyDescent="0.25">
      <c r="A1929"/>
      <c r="B1929"/>
      <c r="C1929"/>
      <c r="D1929"/>
      <c r="E1929"/>
      <c r="F1929"/>
      <c r="G1929"/>
      <c r="H1929"/>
      <c r="I1929"/>
      <c r="J1929"/>
      <c r="K1929"/>
      <c r="L1929"/>
      <c r="M1929"/>
      <c r="N1929"/>
      <c r="O1929"/>
      <c r="P1929"/>
      <c r="Q1929"/>
      <c r="R1929"/>
      <c r="S1929"/>
    </row>
    <row r="1930" spans="1:19" x14ac:dyDescent="0.25">
      <c r="A1930"/>
      <c r="B1930"/>
      <c r="C1930"/>
      <c r="D1930"/>
      <c r="E1930"/>
      <c r="F1930"/>
      <c r="G1930"/>
      <c r="H1930"/>
      <c r="I1930"/>
      <c r="J1930"/>
      <c r="K1930"/>
      <c r="L1930"/>
      <c r="M1930"/>
      <c r="N1930"/>
      <c r="O1930"/>
      <c r="P1930"/>
      <c r="Q1930"/>
      <c r="R1930"/>
      <c r="S1930"/>
    </row>
    <row r="1931" spans="1:19" x14ac:dyDescent="0.25">
      <c r="A1931"/>
      <c r="B1931"/>
      <c r="C1931"/>
      <c r="D1931"/>
      <c r="E1931"/>
      <c r="F1931"/>
      <c r="G1931"/>
      <c r="H1931"/>
      <c r="I1931"/>
      <c r="J1931"/>
      <c r="K1931"/>
      <c r="L1931"/>
      <c r="M1931"/>
      <c r="N1931"/>
      <c r="O1931"/>
      <c r="P1931"/>
      <c r="Q1931"/>
      <c r="R1931"/>
      <c r="S1931"/>
    </row>
    <row r="1932" spans="1:19" x14ac:dyDescent="0.25">
      <c r="A1932"/>
      <c r="B1932"/>
      <c r="C1932"/>
      <c r="D1932"/>
      <c r="E1932"/>
      <c r="F1932"/>
      <c r="G1932"/>
      <c r="H1932"/>
      <c r="I1932"/>
      <c r="J1932"/>
      <c r="K1932"/>
      <c r="L1932"/>
      <c r="M1932"/>
      <c r="N1932"/>
      <c r="O1932"/>
      <c r="P1932"/>
      <c r="Q1932"/>
      <c r="R1932"/>
      <c r="S1932"/>
    </row>
    <row r="1933" spans="1:19" x14ac:dyDescent="0.25">
      <c r="A1933"/>
      <c r="B1933"/>
      <c r="C1933"/>
      <c r="D1933"/>
      <c r="E1933"/>
      <c r="F1933"/>
      <c r="G1933"/>
      <c r="H1933"/>
      <c r="I1933"/>
      <c r="J1933"/>
      <c r="K1933"/>
      <c r="L1933"/>
      <c r="M1933"/>
      <c r="N1933"/>
      <c r="O1933"/>
      <c r="P1933"/>
      <c r="Q1933"/>
      <c r="R1933"/>
      <c r="S1933"/>
    </row>
    <row r="1934" spans="1:19" x14ac:dyDescent="0.25">
      <c r="A1934"/>
      <c r="B1934"/>
      <c r="C1934"/>
      <c r="D1934"/>
      <c r="E1934"/>
      <c r="F1934"/>
      <c r="G1934"/>
      <c r="H1934"/>
      <c r="I1934"/>
      <c r="J1934"/>
      <c r="K1934"/>
      <c r="L1934"/>
      <c r="M1934"/>
      <c r="N1934"/>
      <c r="O1934"/>
      <c r="P1934"/>
      <c r="Q1934"/>
      <c r="R1934"/>
      <c r="S1934"/>
    </row>
    <row r="1935" spans="1:19" x14ac:dyDescent="0.25">
      <c r="A1935"/>
      <c r="B1935"/>
      <c r="C1935"/>
      <c r="D1935"/>
      <c r="E1935"/>
      <c r="F1935"/>
      <c r="G1935"/>
      <c r="H1935"/>
      <c r="I1935"/>
      <c r="J1935"/>
      <c r="K1935"/>
      <c r="L1935"/>
      <c r="M1935"/>
      <c r="N1935"/>
      <c r="O1935"/>
      <c r="P1935"/>
      <c r="Q1935"/>
      <c r="R1935"/>
      <c r="S1935"/>
    </row>
    <row r="1936" spans="1:19" x14ac:dyDescent="0.25">
      <c r="A1936"/>
      <c r="B1936"/>
      <c r="C1936"/>
      <c r="D1936"/>
      <c r="E1936"/>
      <c r="F1936"/>
      <c r="G1936"/>
      <c r="H1936"/>
      <c r="I1936"/>
      <c r="J1936"/>
      <c r="K1936"/>
      <c r="L1936"/>
      <c r="M1936"/>
      <c r="N1936"/>
      <c r="O1936"/>
      <c r="P1936"/>
      <c r="Q1936"/>
      <c r="R1936"/>
      <c r="S1936"/>
    </row>
    <row r="1937" spans="1:19" x14ac:dyDescent="0.25">
      <c r="A1937"/>
      <c r="B1937"/>
      <c r="C1937"/>
      <c r="D1937"/>
      <c r="E1937"/>
      <c r="F1937"/>
      <c r="G1937"/>
      <c r="H1937"/>
      <c r="I1937"/>
      <c r="J1937"/>
      <c r="K1937"/>
      <c r="L1937"/>
      <c r="M1937"/>
      <c r="N1937"/>
      <c r="O1937"/>
      <c r="P1937"/>
      <c r="Q1937"/>
      <c r="R1937"/>
      <c r="S1937"/>
    </row>
    <row r="1938" spans="1:19" x14ac:dyDescent="0.25">
      <c r="A1938"/>
      <c r="B1938"/>
      <c r="C1938"/>
      <c r="D1938"/>
      <c r="E1938"/>
      <c r="F1938"/>
      <c r="G1938"/>
      <c r="H1938"/>
      <c r="I1938"/>
      <c r="J1938"/>
      <c r="K1938"/>
      <c r="L1938"/>
      <c r="M1938"/>
      <c r="N1938"/>
      <c r="O1938"/>
      <c r="P1938"/>
      <c r="Q1938"/>
      <c r="R1938"/>
      <c r="S1938"/>
    </row>
    <row r="1939" spans="1:19" x14ac:dyDescent="0.25">
      <c r="A1939"/>
      <c r="B1939"/>
      <c r="C1939"/>
      <c r="D1939"/>
      <c r="E1939"/>
      <c r="F1939"/>
      <c r="G1939"/>
      <c r="H1939"/>
      <c r="I1939"/>
      <c r="J1939"/>
      <c r="K1939"/>
      <c r="L1939"/>
      <c r="M1939"/>
      <c r="N1939"/>
      <c r="O1939"/>
      <c r="P1939"/>
      <c r="Q1939"/>
      <c r="R1939"/>
      <c r="S1939"/>
    </row>
    <row r="1940" spans="1:19" x14ac:dyDescent="0.25">
      <c r="A1940"/>
      <c r="B1940"/>
      <c r="C1940"/>
      <c r="D1940"/>
      <c r="E1940"/>
      <c r="F1940"/>
      <c r="G1940"/>
      <c r="H1940"/>
      <c r="I1940"/>
      <c r="J1940"/>
      <c r="K1940"/>
      <c r="L1940"/>
      <c r="M1940"/>
      <c r="N1940"/>
      <c r="O1940"/>
      <c r="P1940"/>
      <c r="Q1940"/>
      <c r="R1940"/>
      <c r="S1940"/>
    </row>
    <row r="1941" spans="1:19" x14ac:dyDescent="0.25">
      <c r="A1941"/>
      <c r="B1941"/>
      <c r="C1941"/>
      <c r="D1941"/>
      <c r="E1941"/>
      <c r="F1941"/>
      <c r="G1941"/>
      <c r="H1941"/>
      <c r="I1941"/>
      <c r="J1941"/>
      <c r="K1941"/>
      <c r="L1941"/>
      <c r="M1941"/>
      <c r="N1941"/>
      <c r="O1941"/>
      <c r="P1941"/>
      <c r="Q1941"/>
      <c r="R1941"/>
      <c r="S1941"/>
    </row>
    <row r="1942" spans="1:19" x14ac:dyDescent="0.25">
      <c r="A1942"/>
      <c r="B1942"/>
      <c r="C1942"/>
      <c r="D1942"/>
      <c r="E1942"/>
      <c r="F1942"/>
      <c r="G1942"/>
      <c r="H1942"/>
      <c r="I1942"/>
      <c r="J1942"/>
      <c r="K1942"/>
      <c r="L1942"/>
      <c r="M1942"/>
      <c r="N1942"/>
      <c r="O1942"/>
      <c r="P1942"/>
      <c r="Q1942"/>
      <c r="R1942"/>
      <c r="S1942"/>
    </row>
    <row r="1943" spans="1:19" x14ac:dyDescent="0.25">
      <c r="A1943"/>
      <c r="B1943"/>
      <c r="C1943"/>
      <c r="D1943"/>
      <c r="E1943"/>
      <c r="F1943"/>
      <c r="G1943"/>
      <c r="H1943"/>
      <c r="I1943"/>
      <c r="J1943"/>
      <c r="K1943"/>
      <c r="L1943"/>
      <c r="M1943"/>
      <c r="N1943"/>
      <c r="O1943"/>
      <c r="P1943"/>
      <c r="Q1943"/>
      <c r="R1943"/>
      <c r="S1943"/>
    </row>
    <row r="1944" spans="1:19" x14ac:dyDescent="0.25">
      <c r="A1944"/>
      <c r="B1944"/>
      <c r="C1944"/>
      <c r="D1944"/>
      <c r="E1944"/>
      <c r="F1944"/>
      <c r="G1944"/>
      <c r="H1944"/>
      <c r="I1944"/>
      <c r="J1944"/>
      <c r="K1944"/>
      <c r="L1944"/>
      <c r="M1944"/>
      <c r="N1944"/>
      <c r="O1944"/>
      <c r="P1944"/>
      <c r="Q1944"/>
      <c r="R1944"/>
      <c r="S1944"/>
    </row>
    <row r="1945" spans="1:19" x14ac:dyDescent="0.25">
      <c r="A1945"/>
      <c r="B1945"/>
      <c r="C1945"/>
      <c r="D1945"/>
      <c r="E1945"/>
      <c r="F1945"/>
      <c r="G1945"/>
      <c r="H1945"/>
      <c r="I1945"/>
      <c r="J1945"/>
      <c r="K1945"/>
      <c r="L1945"/>
      <c r="M1945"/>
      <c r="N1945"/>
      <c r="O1945"/>
      <c r="P1945"/>
      <c r="Q1945"/>
      <c r="R1945"/>
      <c r="S1945"/>
    </row>
    <row r="1946" spans="1:19" x14ac:dyDescent="0.25">
      <c r="A1946"/>
      <c r="B1946"/>
      <c r="C1946"/>
      <c r="D1946"/>
      <c r="E1946"/>
      <c r="F1946"/>
      <c r="G1946"/>
      <c r="H1946"/>
      <c r="I1946"/>
      <c r="J1946"/>
      <c r="K1946"/>
      <c r="L1946"/>
      <c r="M1946"/>
      <c r="N1946"/>
      <c r="O1946"/>
      <c r="P1946"/>
      <c r="Q1946"/>
      <c r="R1946"/>
      <c r="S1946"/>
    </row>
    <row r="1947" spans="1:19" x14ac:dyDescent="0.25">
      <c r="A1947"/>
      <c r="B1947"/>
      <c r="C1947"/>
      <c r="D1947"/>
      <c r="E1947"/>
      <c r="F1947"/>
      <c r="G1947"/>
      <c r="H1947"/>
      <c r="I1947"/>
      <c r="J1947"/>
      <c r="K1947"/>
      <c r="L1947"/>
      <c r="M1947"/>
      <c r="N1947"/>
      <c r="O1947"/>
      <c r="P1947"/>
      <c r="Q1947"/>
      <c r="R1947"/>
      <c r="S1947"/>
    </row>
    <row r="1948" spans="1:19" x14ac:dyDescent="0.25">
      <c r="A1948"/>
      <c r="B1948"/>
      <c r="C1948"/>
      <c r="D1948"/>
      <c r="E1948"/>
      <c r="F1948"/>
      <c r="G1948"/>
      <c r="H1948"/>
      <c r="I1948"/>
      <c r="J1948"/>
      <c r="K1948"/>
      <c r="L1948"/>
      <c r="M1948"/>
      <c r="N1948"/>
      <c r="O1948"/>
      <c r="P1948"/>
      <c r="Q1948"/>
      <c r="R1948"/>
      <c r="S1948"/>
    </row>
    <row r="1949" spans="1:19" x14ac:dyDescent="0.25">
      <c r="A1949"/>
      <c r="B1949"/>
      <c r="C1949"/>
      <c r="D1949"/>
      <c r="E1949"/>
      <c r="F1949"/>
      <c r="G1949"/>
      <c r="H1949"/>
      <c r="I1949"/>
      <c r="J1949"/>
      <c r="K1949"/>
      <c r="L1949"/>
      <c r="M1949"/>
      <c r="N1949"/>
      <c r="O1949"/>
      <c r="P1949"/>
      <c r="Q1949"/>
      <c r="R1949"/>
      <c r="S1949"/>
    </row>
    <row r="1950" spans="1:19" x14ac:dyDescent="0.25">
      <c r="A1950"/>
      <c r="B1950"/>
      <c r="C1950"/>
      <c r="D1950"/>
      <c r="E1950"/>
      <c r="F1950"/>
      <c r="G1950"/>
      <c r="H1950"/>
      <c r="I1950"/>
      <c r="J1950"/>
      <c r="K1950"/>
      <c r="L1950"/>
      <c r="M1950"/>
      <c r="N1950"/>
      <c r="O1950"/>
      <c r="P1950"/>
      <c r="Q1950"/>
      <c r="R1950"/>
      <c r="S1950"/>
    </row>
    <row r="1951" spans="1:19" x14ac:dyDescent="0.25">
      <c r="A1951"/>
      <c r="B1951"/>
      <c r="C1951"/>
      <c r="D1951"/>
      <c r="E1951"/>
      <c r="F1951"/>
      <c r="G1951"/>
      <c r="H1951"/>
      <c r="I1951"/>
      <c r="J1951"/>
      <c r="K1951"/>
      <c r="L1951"/>
      <c r="M1951"/>
      <c r="N1951"/>
      <c r="O1951"/>
      <c r="P1951"/>
      <c r="Q1951"/>
      <c r="R1951"/>
      <c r="S1951"/>
    </row>
    <row r="1952" spans="1:19" x14ac:dyDescent="0.25">
      <c r="A1952"/>
      <c r="B1952"/>
      <c r="C1952"/>
      <c r="D1952"/>
      <c r="E1952"/>
      <c r="F1952"/>
      <c r="G1952"/>
      <c r="H1952"/>
      <c r="I1952"/>
      <c r="J1952"/>
      <c r="K1952"/>
      <c r="L1952"/>
      <c r="M1952"/>
      <c r="N1952"/>
      <c r="O1952"/>
      <c r="P1952"/>
      <c r="Q1952"/>
      <c r="R1952"/>
      <c r="S1952"/>
    </row>
    <row r="1953" spans="1:19" x14ac:dyDescent="0.25">
      <c r="A1953"/>
      <c r="B1953"/>
      <c r="C1953"/>
      <c r="D1953"/>
      <c r="E1953"/>
      <c r="F1953"/>
      <c r="G1953"/>
      <c r="H1953"/>
      <c r="I1953"/>
      <c r="J1953"/>
      <c r="K1953"/>
      <c r="L1953"/>
      <c r="M1953"/>
      <c r="N1953"/>
      <c r="O1953"/>
      <c r="P1953"/>
      <c r="Q1953"/>
      <c r="R1953"/>
      <c r="S1953"/>
    </row>
    <row r="1954" spans="1:19" x14ac:dyDescent="0.25">
      <c r="A1954"/>
      <c r="B1954"/>
      <c r="C1954"/>
      <c r="D1954"/>
      <c r="E1954"/>
      <c r="F1954"/>
      <c r="G1954"/>
      <c r="H1954"/>
      <c r="I1954"/>
      <c r="J1954"/>
      <c r="K1954"/>
      <c r="L1954"/>
      <c r="M1954"/>
      <c r="N1954"/>
      <c r="O1954"/>
      <c r="P1954"/>
      <c r="Q1954"/>
      <c r="R1954"/>
      <c r="S1954"/>
    </row>
    <row r="1955" spans="1:19" x14ac:dyDescent="0.25">
      <c r="A1955"/>
      <c r="B1955"/>
      <c r="C1955"/>
      <c r="D1955"/>
      <c r="E1955"/>
      <c r="F1955"/>
      <c r="G1955"/>
      <c r="H1955"/>
      <c r="I1955"/>
      <c r="J1955"/>
      <c r="K1955"/>
      <c r="L1955"/>
      <c r="M1955"/>
      <c r="N1955"/>
      <c r="O1955"/>
      <c r="P1955"/>
      <c r="Q1955"/>
      <c r="R1955"/>
      <c r="S1955"/>
    </row>
    <row r="1956" spans="1:19" x14ac:dyDescent="0.25">
      <c r="A1956"/>
      <c r="B1956"/>
      <c r="C1956"/>
      <c r="D1956"/>
      <c r="E1956"/>
      <c r="F1956"/>
      <c r="G1956"/>
      <c r="H1956"/>
      <c r="I1956"/>
      <c r="J1956"/>
      <c r="K1956"/>
      <c r="L1956"/>
      <c r="M1956"/>
      <c r="N1956"/>
      <c r="O1956"/>
      <c r="P1956"/>
      <c r="Q1956"/>
      <c r="R1956"/>
      <c r="S1956"/>
    </row>
    <row r="1957" spans="1:19" x14ac:dyDescent="0.25">
      <c r="A1957"/>
      <c r="B1957"/>
      <c r="C1957"/>
      <c r="D1957"/>
      <c r="E1957"/>
      <c r="F1957"/>
      <c r="G1957"/>
      <c r="H1957"/>
      <c r="I1957"/>
      <c r="J1957"/>
      <c r="K1957"/>
      <c r="L1957"/>
      <c r="M1957"/>
      <c r="N1957"/>
      <c r="O1957"/>
      <c r="P1957"/>
      <c r="Q1957"/>
      <c r="R1957"/>
      <c r="S1957"/>
    </row>
    <row r="1958" spans="1:19" x14ac:dyDescent="0.25">
      <c r="A1958"/>
      <c r="B1958"/>
      <c r="C1958"/>
      <c r="D1958"/>
      <c r="E1958"/>
      <c r="F1958"/>
      <c r="G1958"/>
      <c r="H1958"/>
      <c r="I1958"/>
      <c r="J1958"/>
      <c r="K1958"/>
      <c r="L1958"/>
      <c r="M1958"/>
      <c r="N1958"/>
      <c r="O1958"/>
      <c r="P1958"/>
      <c r="Q1958"/>
      <c r="R1958"/>
      <c r="S1958"/>
    </row>
    <row r="1959" spans="1:19" x14ac:dyDescent="0.25">
      <c r="A1959"/>
      <c r="B1959"/>
      <c r="C1959"/>
      <c r="D1959"/>
      <c r="E1959"/>
      <c r="F1959"/>
      <c r="G1959"/>
      <c r="H1959"/>
      <c r="I1959"/>
      <c r="J1959"/>
      <c r="K1959"/>
      <c r="L1959"/>
      <c r="M1959"/>
      <c r="N1959"/>
      <c r="O1959"/>
      <c r="P1959"/>
      <c r="Q1959"/>
      <c r="R1959"/>
      <c r="S1959"/>
    </row>
    <row r="1960" spans="1:19" x14ac:dyDescent="0.25">
      <c r="A1960"/>
      <c r="B1960"/>
      <c r="C1960"/>
      <c r="D1960"/>
      <c r="E1960"/>
      <c r="F1960"/>
      <c r="G1960"/>
      <c r="H1960"/>
      <c r="I1960"/>
      <c r="J1960"/>
      <c r="K1960"/>
      <c r="L1960"/>
      <c r="M1960"/>
      <c r="N1960"/>
      <c r="O1960"/>
      <c r="P1960"/>
      <c r="Q1960"/>
      <c r="R1960"/>
      <c r="S1960"/>
    </row>
    <row r="1961" spans="1:19" x14ac:dyDescent="0.25">
      <c r="A1961"/>
      <c r="B1961"/>
      <c r="C1961"/>
      <c r="D1961"/>
      <c r="E1961"/>
      <c r="F1961"/>
      <c r="G1961"/>
      <c r="H1961"/>
      <c r="I1961"/>
      <c r="J1961"/>
      <c r="K1961"/>
      <c r="L1961"/>
      <c r="M1961"/>
      <c r="N1961"/>
      <c r="O1961"/>
      <c r="P1961"/>
      <c r="Q1961"/>
      <c r="R1961"/>
      <c r="S1961"/>
    </row>
    <row r="1962" spans="1:19" x14ac:dyDescent="0.25">
      <c r="A1962"/>
      <c r="B1962"/>
      <c r="C1962"/>
      <c r="D1962"/>
      <c r="E1962"/>
      <c r="F1962"/>
      <c r="G1962"/>
      <c r="H1962"/>
      <c r="I1962"/>
      <c r="J1962"/>
      <c r="K1962"/>
      <c r="L1962"/>
      <c r="M1962"/>
      <c r="N1962"/>
      <c r="O1962"/>
      <c r="P1962"/>
      <c r="Q1962"/>
      <c r="R1962"/>
      <c r="S1962"/>
    </row>
    <row r="1963" spans="1:19" x14ac:dyDescent="0.25">
      <c r="A1963"/>
      <c r="B1963"/>
      <c r="C1963"/>
      <c r="D1963"/>
      <c r="E1963"/>
      <c r="F1963"/>
      <c r="G1963"/>
      <c r="H1963"/>
      <c r="I1963"/>
      <c r="J1963"/>
      <c r="K1963"/>
      <c r="L1963"/>
      <c r="M1963"/>
      <c r="N1963"/>
      <c r="O1963"/>
      <c r="P1963"/>
      <c r="Q1963"/>
      <c r="R1963"/>
      <c r="S1963"/>
    </row>
    <row r="1964" spans="1:19" x14ac:dyDescent="0.25">
      <c r="A1964"/>
      <c r="B1964"/>
      <c r="C1964"/>
      <c r="D1964"/>
      <c r="E1964"/>
      <c r="F1964"/>
      <c r="G1964"/>
      <c r="H1964"/>
      <c r="I1964"/>
      <c r="J1964"/>
      <c r="K1964"/>
      <c r="L1964"/>
      <c r="M1964"/>
      <c r="N1964"/>
      <c r="O1964"/>
      <c r="P1964"/>
      <c r="Q1964"/>
      <c r="R1964"/>
      <c r="S1964"/>
    </row>
    <row r="1965" spans="1:19" x14ac:dyDescent="0.25">
      <c r="A1965"/>
      <c r="B1965"/>
      <c r="C1965"/>
      <c r="D1965"/>
      <c r="E1965"/>
      <c r="F1965"/>
      <c r="G1965"/>
      <c r="H1965"/>
      <c r="I1965"/>
      <c r="J1965"/>
      <c r="K1965"/>
      <c r="L1965"/>
      <c r="M1965"/>
      <c r="N1965"/>
      <c r="O1965"/>
      <c r="P1965"/>
      <c r="Q1965"/>
      <c r="R1965"/>
      <c r="S1965"/>
    </row>
    <row r="1966" spans="1:19" x14ac:dyDescent="0.25">
      <c r="A1966"/>
      <c r="B1966"/>
      <c r="C1966"/>
      <c r="D1966"/>
      <c r="E1966"/>
      <c r="F1966"/>
      <c r="G1966"/>
      <c r="H1966"/>
      <c r="I1966"/>
      <c r="J1966"/>
      <c r="K1966"/>
      <c r="L1966"/>
      <c r="M1966"/>
      <c r="N1966"/>
      <c r="O1966"/>
      <c r="P1966"/>
      <c r="Q1966"/>
      <c r="R1966"/>
      <c r="S1966"/>
    </row>
    <row r="1967" spans="1:19" x14ac:dyDescent="0.25">
      <c r="A1967"/>
      <c r="B1967"/>
      <c r="C1967"/>
      <c r="D1967"/>
      <c r="E1967"/>
      <c r="F1967"/>
      <c r="G1967"/>
      <c r="H1967"/>
      <c r="I1967"/>
      <c r="J1967"/>
      <c r="K1967"/>
      <c r="L1967"/>
      <c r="M1967"/>
      <c r="N1967"/>
      <c r="O1967"/>
      <c r="P1967"/>
      <c r="Q1967"/>
      <c r="R1967"/>
      <c r="S1967"/>
    </row>
    <row r="1968" spans="1:19" x14ac:dyDescent="0.25">
      <c r="A1968"/>
      <c r="B1968"/>
      <c r="C1968"/>
      <c r="D1968"/>
      <c r="E1968"/>
      <c r="F1968"/>
      <c r="G1968"/>
      <c r="H1968"/>
      <c r="I1968"/>
      <c r="J1968"/>
      <c r="K1968"/>
      <c r="L1968"/>
      <c r="M1968"/>
      <c r="N1968"/>
      <c r="O1968"/>
      <c r="P1968"/>
      <c r="Q1968"/>
      <c r="R1968"/>
      <c r="S1968"/>
    </row>
    <row r="1969" spans="1:19" x14ac:dyDescent="0.25">
      <c r="A1969"/>
      <c r="B1969"/>
      <c r="C1969"/>
      <c r="D1969"/>
      <c r="E1969"/>
      <c r="F1969"/>
      <c r="G1969"/>
      <c r="H1969"/>
      <c r="I1969"/>
      <c r="J1969"/>
      <c r="K1969"/>
      <c r="L1969"/>
      <c r="M1969"/>
      <c r="N1969"/>
      <c r="O1969"/>
      <c r="P1969"/>
      <c r="Q1969"/>
      <c r="R1969"/>
      <c r="S1969"/>
    </row>
    <row r="1970" spans="1:19" x14ac:dyDescent="0.25">
      <c r="A1970"/>
      <c r="B1970"/>
      <c r="C1970"/>
      <c r="D1970"/>
      <c r="E1970"/>
      <c r="F1970"/>
      <c r="G1970"/>
      <c r="H1970"/>
      <c r="I1970"/>
      <c r="J1970"/>
      <c r="K1970"/>
      <c r="L1970"/>
      <c r="M1970"/>
      <c r="N1970"/>
      <c r="O1970"/>
      <c r="P1970"/>
      <c r="Q1970"/>
      <c r="R1970"/>
      <c r="S1970"/>
    </row>
    <row r="1971" spans="1:19" x14ac:dyDescent="0.25">
      <c r="A1971"/>
      <c r="B1971"/>
      <c r="C1971"/>
      <c r="D1971"/>
      <c r="E1971"/>
      <c r="F1971"/>
      <c r="G1971"/>
      <c r="H1971"/>
      <c r="I1971"/>
      <c r="J1971"/>
      <c r="K1971"/>
      <c r="L1971"/>
      <c r="M1971"/>
      <c r="N1971"/>
      <c r="O1971"/>
      <c r="P1971"/>
      <c r="Q1971"/>
      <c r="R1971"/>
      <c r="S1971"/>
    </row>
    <row r="1972" spans="1:19" x14ac:dyDescent="0.25">
      <c r="A1972"/>
      <c r="B1972"/>
      <c r="C1972"/>
      <c r="D1972"/>
      <c r="E1972"/>
      <c r="F1972"/>
      <c r="G1972"/>
      <c r="H1972"/>
      <c r="I1972"/>
      <c r="J1972"/>
      <c r="K1972"/>
      <c r="L1972"/>
      <c r="M1972"/>
      <c r="N1972"/>
      <c r="O1972"/>
      <c r="P1972"/>
      <c r="Q1972"/>
      <c r="R1972"/>
      <c r="S1972"/>
    </row>
    <row r="1973" spans="1:19" x14ac:dyDescent="0.25">
      <c r="A1973"/>
      <c r="B1973"/>
      <c r="C1973"/>
      <c r="D1973"/>
      <c r="E1973"/>
      <c r="F1973"/>
      <c r="G1973"/>
      <c r="H1973"/>
      <c r="I1973"/>
      <c r="J1973"/>
      <c r="K1973"/>
      <c r="L1973"/>
      <c r="M1973"/>
      <c r="N1973"/>
      <c r="O1973"/>
      <c r="P1973"/>
      <c r="Q1973"/>
      <c r="R1973"/>
      <c r="S1973"/>
    </row>
    <row r="1974" spans="1:19" x14ac:dyDescent="0.25">
      <c r="A1974"/>
      <c r="B1974"/>
      <c r="C1974"/>
      <c r="D1974"/>
      <c r="E1974"/>
      <c r="F1974"/>
      <c r="G1974"/>
      <c r="H1974"/>
      <c r="I1974"/>
      <c r="J1974"/>
      <c r="K1974"/>
      <c r="L1974"/>
      <c r="M1974"/>
      <c r="N1974"/>
      <c r="O1974"/>
      <c r="P1974"/>
      <c r="Q1974"/>
      <c r="R1974"/>
      <c r="S1974"/>
    </row>
    <row r="1975" spans="1:19" x14ac:dyDescent="0.25">
      <c r="A1975"/>
      <c r="B1975"/>
      <c r="C1975"/>
      <c r="D1975"/>
      <c r="E1975"/>
      <c r="F1975"/>
      <c r="G1975"/>
      <c r="H1975"/>
      <c r="I1975"/>
      <c r="J1975"/>
      <c r="K1975"/>
      <c r="L1975"/>
      <c r="M1975"/>
      <c r="N1975"/>
      <c r="O1975"/>
      <c r="P1975"/>
      <c r="Q1975"/>
      <c r="R1975"/>
      <c r="S1975"/>
    </row>
    <row r="1976" spans="1:19" x14ac:dyDescent="0.25">
      <c r="A1976"/>
      <c r="B1976"/>
      <c r="C1976"/>
      <c r="D1976"/>
      <c r="E1976"/>
      <c r="F1976"/>
      <c r="G1976"/>
      <c r="H1976"/>
      <c r="I1976"/>
      <c r="J1976"/>
      <c r="K1976"/>
      <c r="L1976"/>
      <c r="M1976"/>
      <c r="N1976"/>
      <c r="O1976"/>
      <c r="P1976"/>
      <c r="Q1976"/>
      <c r="R1976"/>
      <c r="S1976"/>
    </row>
    <row r="1977" spans="1:19" x14ac:dyDescent="0.25">
      <c r="A1977"/>
      <c r="B1977"/>
      <c r="C1977"/>
      <c r="D1977"/>
      <c r="E1977"/>
      <c r="F1977"/>
      <c r="G1977"/>
      <c r="H1977"/>
      <c r="I1977"/>
      <c r="J1977"/>
      <c r="K1977"/>
      <c r="L1977"/>
      <c r="M1977"/>
      <c r="N1977"/>
      <c r="O1977"/>
      <c r="P1977"/>
      <c r="Q1977"/>
      <c r="R1977"/>
      <c r="S1977"/>
    </row>
    <row r="1978" spans="1:19" x14ac:dyDescent="0.25">
      <c r="A1978"/>
      <c r="B1978"/>
      <c r="C1978"/>
      <c r="D1978"/>
      <c r="E1978"/>
      <c r="F1978"/>
      <c r="G1978"/>
      <c r="H1978"/>
      <c r="I1978"/>
      <c r="J1978"/>
      <c r="K1978"/>
      <c r="L1978"/>
      <c r="M1978"/>
      <c r="N1978"/>
      <c r="O1978"/>
      <c r="P1978"/>
      <c r="Q1978"/>
      <c r="R1978"/>
      <c r="S1978"/>
    </row>
    <row r="1979" spans="1:19" x14ac:dyDescent="0.25">
      <c r="A1979"/>
      <c r="B1979"/>
      <c r="C1979"/>
      <c r="D1979"/>
      <c r="E1979"/>
      <c r="F1979"/>
      <c r="G1979"/>
      <c r="H1979"/>
      <c r="I1979"/>
      <c r="J1979"/>
      <c r="K1979"/>
      <c r="L1979"/>
      <c r="M1979"/>
      <c r="N1979"/>
      <c r="O1979"/>
      <c r="P1979"/>
      <c r="Q1979"/>
      <c r="R1979"/>
      <c r="S1979"/>
    </row>
    <row r="1980" spans="1:19" x14ac:dyDescent="0.25">
      <c r="A1980"/>
      <c r="B1980"/>
      <c r="C1980"/>
      <c r="D1980"/>
      <c r="E1980"/>
      <c r="F1980"/>
      <c r="G1980"/>
      <c r="H1980"/>
      <c r="I1980"/>
      <c r="J1980"/>
      <c r="K1980"/>
      <c r="L1980"/>
      <c r="M1980"/>
      <c r="N1980"/>
      <c r="O1980"/>
      <c r="P1980"/>
      <c r="Q1980"/>
      <c r="R1980"/>
      <c r="S1980"/>
    </row>
    <row r="1981" spans="1:19" x14ac:dyDescent="0.25">
      <c r="A1981"/>
      <c r="B1981"/>
      <c r="C1981"/>
      <c r="D1981"/>
      <c r="E1981"/>
      <c r="F1981"/>
      <c r="G1981"/>
      <c r="H1981"/>
      <c r="I1981"/>
      <c r="J1981"/>
      <c r="K1981"/>
      <c r="L1981"/>
      <c r="M1981"/>
      <c r="N1981"/>
      <c r="O1981"/>
      <c r="P1981"/>
      <c r="Q1981"/>
      <c r="R1981"/>
      <c r="S1981"/>
    </row>
    <row r="1982" spans="1:19" x14ac:dyDescent="0.25">
      <c r="A1982"/>
      <c r="B1982"/>
      <c r="C1982"/>
      <c r="D1982"/>
      <c r="E1982"/>
      <c r="F1982"/>
      <c r="G1982"/>
      <c r="H1982"/>
      <c r="I1982"/>
      <c r="J1982"/>
      <c r="K1982"/>
      <c r="L1982"/>
      <c r="M1982"/>
      <c r="N1982"/>
      <c r="O1982"/>
      <c r="P1982"/>
      <c r="Q1982"/>
      <c r="R1982"/>
      <c r="S1982"/>
    </row>
    <row r="1983" spans="1:19" x14ac:dyDescent="0.25">
      <c r="A1983"/>
      <c r="B1983"/>
      <c r="C1983"/>
      <c r="D1983"/>
      <c r="E1983"/>
      <c r="F1983"/>
      <c r="G1983"/>
      <c r="H1983"/>
      <c r="I1983"/>
      <c r="J1983"/>
      <c r="K1983"/>
      <c r="L1983"/>
      <c r="M1983"/>
      <c r="N1983"/>
      <c r="O1983"/>
      <c r="P1983"/>
      <c r="Q1983"/>
      <c r="R1983"/>
      <c r="S1983"/>
    </row>
    <row r="1984" spans="1:19" x14ac:dyDescent="0.25">
      <c r="A1984"/>
      <c r="B1984"/>
      <c r="C1984"/>
      <c r="D1984"/>
      <c r="E1984"/>
      <c r="F1984"/>
      <c r="G1984"/>
      <c r="H1984"/>
      <c r="I1984"/>
      <c r="J1984"/>
      <c r="K1984"/>
      <c r="L1984"/>
      <c r="M1984"/>
      <c r="N1984"/>
      <c r="O1984"/>
      <c r="P1984"/>
      <c r="Q1984"/>
      <c r="R1984"/>
      <c r="S1984"/>
    </row>
    <row r="1985" spans="1:19" x14ac:dyDescent="0.25">
      <c r="A1985"/>
      <c r="B1985"/>
      <c r="C1985"/>
      <c r="D1985"/>
      <c r="E1985"/>
      <c r="F1985"/>
      <c r="G1985"/>
      <c r="H1985"/>
      <c r="I1985"/>
      <c r="J1985"/>
      <c r="K1985"/>
      <c r="L1985"/>
      <c r="M1985"/>
      <c r="N1985"/>
      <c r="O1985"/>
      <c r="P1985"/>
      <c r="Q1985"/>
      <c r="R1985"/>
      <c r="S1985"/>
    </row>
    <row r="1986" spans="1:19" x14ac:dyDescent="0.25">
      <c r="A1986"/>
      <c r="B1986"/>
      <c r="C1986"/>
      <c r="D1986"/>
      <c r="E1986"/>
      <c r="F1986"/>
      <c r="G1986"/>
      <c r="H1986"/>
      <c r="I1986"/>
      <c r="J1986"/>
      <c r="K1986"/>
      <c r="L1986"/>
      <c r="M1986"/>
      <c r="N1986"/>
      <c r="O1986"/>
      <c r="P1986"/>
      <c r="Q1986"/>
      <c r="R1986"/>
      <c r="S1986"/>
    </row>
    <row r="1987" spans="1:19" x14ac:dyDescent="0.25">
      <c r="A1987"/>
      <c r="B1987"/>
      <c r="C1987"/>
      <c r="D1987"/>
      <c r="E1987"/>
      <c r="F1987"/>
      <c r="G1987"/>
      <c r="H1987"/>
      <c r="I1987"/>
      <c r="J1987"/>
      <c r="K1987"/>
      <c r="L1987"/>
      <c r="M1987"/>
      <c r="N1987"/>
      <c r="O1987"/>
      <c r="P1987"/>
      <c r="Q1987"/>
      <c r="R1987"/>
      <c r="S1987"/>
    </row>
    <row r="1988" spans="1:19" x14ac:dyDescent="0.25">
      <c r="A1988"/>
      <c r="B1988"/>
      <c r="C1988"/>
      <c r="D1988"/>
      <c r="E1988"/>
      <c r="F1988"/>
      <c r="G1988"/>
      <c r="H1988"/>
      <c r="I1988"/>
      <c r="J1988"/>
      <c r="K1988"/>
      <c r="L1988"/>
      <c r="M1988"/>
      <c r="N1988"/>
      <c r="O1988"/>
      <c r="P1988"/>
      <c r="Q1988"/>
      <c r="R1988"/>
      <c r="S1988"/>
    </row>
    <row r="1989" spans="1:19" x14ac:dyDescent="0.25">
      <c r="A1989"/>
      <c r="B1989"/>
      <c r="C1989"/>
      <c r="D1989"/>
      <c r="E1989"/>
      <c r="F1989"/>
      <c r="G1989"/>
      <c r="H1989"/>
      <c r="I1989"/>
      <c r="J1989"/>
      <c r="K1989"/>
      <c r="L1989"/>
      <c r="M1989"/>
      <c r="N1989"/>
      <c r="O1989"/>
      <c r="P1989"/>
      <c r="Q1989"/>
      <c r="R1989"/>
      <c r="S1989"/>
    </row>
    <row r="1990" spans="1:19" x14ac:dyDescent="0.25">
      <c r="A1990"/>
      <c r="B1990"/>
      <c r="C1990"/>
      <c r="D1990"/>
      <c r="E1990"/>
      <c r="F1990"/>
      <c r="G1990"/>
      <c r="H1990"/>
      <c r="I1990"/>
      <c r="J1990"/>
      <c r="K1990"/>
      <c r="L1990"/>
      <c r="M1990"/>
      <c r="N1990"/>
      <c r="O1990"/>
      <c r="P1990"/>
      <c r="Q1990"/>
      <c r="R1990"/>
      <c r="S1990"/>
    </row>
    <row r="1991" spans="1:19" x14ac:dyDescent="0.25">
      <c r="A1991"/>
      <c r="B1991"/>
      <c r="C1991"/>
      <c r="D1991"/>
      <c r="E1991"/>
      <c r="F1991"/>
      <c r="G1991"/>
      <c r="H1991"/>
      <c r="I1991"/>
      <c r="J1991"/>
      <c r="K1991"/>
      <c r="L1991"/>
      <c r="M1991"/>
      <c r="N1991"/>
      <c r="O1991"/>
      <c r="P1991"/>
      <c r="Q1991"/>
      <c r="R1991"/>
      <c r="S1991"/>
    </row>
    <row r="1992" spans="1:19" x14ac:dyDescent="0.25">
      <c r="A1992"/>
      <c r="B1992"/>
      <c r="C1992"/>
      <c r="D1992"/>
      <c r="E1992"/>
      <c r="F1992"/>
      <c r="G1992"/>
      <c r="H1992"/>
      <c r="I1992"/>
      <c r="J1992"/>
      <c r="K1992"/>
      <c r="L1992"/>
      <c r="M1992"/>
      <c r="N1992"/>
      <c r="O1992"/>
      <c r="P1992"/>
      <c r="Q1992"/>
      <c r="R1992"/>
      <c r="S1992"/>
    </row>
    <row r="1993" spans="1:19" x14ac:dyDescent="0.25">
      <c r="A1993"/>
      <c r="B1993"/>
      <c r="C1993"/>
      <c r="D1993"/>
      <c r="E1993"/>
      <c r="F1993"/>
      <c r="G1993"/>
      <c r="H1993"/>
      <c r="I1993"/>
      <c r="J1993"/>
      <c r="K1993"/>
      <c r="L1993"/>
      <c r="M1993"/>
      <c r="N1993"/>
      <c r="O1993"/>
      <c r="P1993"/>
      <c r="Q1993"/>
      <c r="R1993"/>
      <c r="S1993"/>
    </row>
    <row r="1994" spans="1:19" x14ac:dyDescent="0.25">
      <c r="A1994"/>
      <c r="B1994"/>
      <c r="C1994"/>
      <c r="D1994"/>
      <c r="E1994"/>
      <c r="F1994"/>
      <c r="G1994"/>
      <c r="H1994"/>
      <c r="I1994"/>
      <c r="J1994"/>
      <c r="K1994"/>
      <c r="L1994"/>
      <c r="M1994"/>
      <c r="N1994"/>
      <c r="O1994"/>
      <c r="P1994"/>
      <c r="Q1994"/>
      <c r="R1994"/>
      <c r="S1994"/>
    </row>
    <row r="1995" spans="1:19" x14ac:dyDescent="0.25">
      <c r="A1995"/>
      <c r="B1995"/>
      <c r="C1995"/>
      <c r="D1995"/>
      <c r="E1995"/>
      <c r="F1995"/>
      <c r="G1995"/>
      <c r="H1995"/>
      <c r="I1995"/>
      <c r="J1995"/>
      <c r="K1995"/>
      <c r="L1995"/>
      <c r="M1995"/>
      <c r="N1995"/>
      <c r="O1995"/>
      <c r="P1995"/>
      <c r="Q1995"/>
      <c r="R1995"/>
      <c r="S1995"/>
    </row>
    <row r="1996" spans="1:19" x14ac:dyDescent="0.25">
      <c r="A1996"/>
      <c r="B1996"/>
      <c r="C1996"/>
      <c r="D1996"/>
      <c r="E1996"/>
      <c r="F1996"/>
      <c r="G1996"/>
      <c r="H1996"/>
      <c r="I1996"/>
      <c r="J1996"/>
      <c r="K1996"/>
      <c r="L1996"/>
      <c r="M1996"/>
      <c r="N1996"/>
      <c r="O1996"/>
      <c r="P1996"/>
      <c r="Q1996"/>
      <c r="R1996"/>
      <c r="S1996"/>
    </row>
    <row r="1997" spans="1:19" x14ac:dyDescent="0.25">
      <c r="A1997"/>
      <c r="B1997"/>
      <c r="C1997"/>
      <c r="D1997"/>
      <c r="E1997"/>
      <c r="F1997"/>
      <c r="G1997"/>
      <c r="H1997"/>
      <c r="I1997"/>
      <c r="J1997"/>
      <c r="K1997"/>
      <c r="L1997"/>
      <c r="M1997"/>
      <c r="N1997"/>
      <c r="O1997"/>
      <c r="P1997"/>
      <c r="Q1997"/>
      <c r="R1997"/>
      <c r="S1997"/>
    </row>
    <row r="1998" spans="1:19" x14ac:dyDescent="0.25">
      <c r="A1998"/>
      <c r="B1998"/>
      <c r="C1998"/>
      <c r="D1998"/>
      <c r="E1998"/>
      <c r="F1998"/>
      <c r="G1998"/>
      <c r="H1998"/>
      <c r="I1998"/>
      <c r="J1998"/>
      <c r="K1998"/>
      <c r="L1998"/>
      <c r="M1998"/>
      <c r="N1998"/>
      <c r="O1998"/>
      <c r="P1998"/>
      <c r="Q1998"/>
      <c r="R1998"/>
      <c r="S1998"/>
    </row>
    <row r="1999" spans="1:19" x14ac:dyDescent="0.25">
      <c r="A1999"/>
      <c r="B1999"/>
      <c r="C1999"/>
      <c r="D1999"/>
      <c r="E1999"/>
      <c r="F1999"/>
      <c r="G1999"/>
      <c r="H1999"/>
      <c r="I1999"/>
      <c r="J1999"/>
      <c r="K1999"/>
      <c r="L1999"/>
      <c r="M1999"/>
      <c r="N1999"/>
      <c r="O1999"/>
      <c r="P1999"/>
      <c r="Q1999"/>
      <c r="R1999"/>
      <c r="S1999"/>
    </row>
    <row r="2000" spans="1:19" x14ac:dyDescent="0.25">
      <c r="A2000"/>
      <c r="B2000"/>
      <c r="C2000"/>
      <c r="D2000"/>
      <c r="E2000"/>
      <c r="F2000"/>
      <c r="G2000"/>
      <c r="H2000"/>
      <c r="I2000"/>
      <c r="J2000"/>
      <c r="K2000"/>
      <c r="L2000"/>
      <c r="M2000"/>
      <c r="N2000"/>
      <c r="O2000"/>
      <c r="P2000"/>
      <c r="Q2000"/>
      <c r="R2000"/>
      <c r="S2000"/>
    </row>
    <row r="2001" spans="1:19" x14ac:dyDescent="0.25">
      <c r="A2001"/>
      <c r="B2001"/>
      <c r="C2001"/>
      <c r="D2001"/>
      <c r="E2001"/>
      <c r="F2001"/>
      <c r="G2001"/>
      <c r="H2001"/>
      <c r="I2001"/>
      <c r="J2001"/>
      <c r="K2001"/>
      <c r="L2001"/>
      <c r="M2001"/>
      <c r="N2001"/>
      <c r="O2001"/>
      <c r="P2001"/>
      <c r="Q2001"/>
      <c r="R2001"/>
      <c r="S2001"/>
    </row>
    <row r="2002" spans="1:19" x14ac:dyDescent="0.25">
      <c r="A2002"/>
      <c r="B2002"/>
      <c r="C2002"/>
      <c r="D2002"/>
      <c r="E2002"/>
      <c r="F2002"/>
      <c r="G2002"/>
      <c r="H2002"/>
      <c r="I2002"/>
      <c r="J2002"/>
      <c r="K2002"/>
      <c r="L2002"/>
      <c r="M2002"/>
      <c r="N2002"/>
      <c r="O2002"/>
      <c r="P2002"/>
      <c r="Q2002"/>
      <c r="R2002"/>
      <c r="S2002"/>
    </row>
    <row r="2003" spans="1:19" x14ac:dyDescent="0.25">
      <c r="A2003"/>
      <c r="B2003"/>
      <c r="C2003"/>
      <c r="D2003"/>
      <c r="E2003"/>
      <c r="F2003"/>
      <c r="G2003"/>
      <c r="H2003"/>
      <c r="I2003"/>
      <c r="J2003"/>
      <c r="K2003"/>
      <c r="L2003"/>
      <c r="M2003"/>
      <c r="N2003"/>
      <c r="O2003"/>
      <c r="P2003"/>
      <c r="Q2003"/>
      <c r="R2003"/>
      <c r="S2003"/>
    </row>
    <row r="2004" spans="1:19" x14ac:dyDescent="0.25">
      <c r="A2004"/>
      <c r="B2004"/>
      <c r="C2004"/>
      <c r="D2004"/>
      <c r="E2004"/>
      <c r="F2004"/>
      <c r="G2004"/>
      <c r="H2004"/>
      <c r="I2004"/>
      <c r="J2004"/>
      <c r="K2004"/>
      <c r="L2004"/>
      <c r="M2004"/>
      <c r="N2004"/>
      <c r="O2004"/>
      <c r="P2004"/>
      <c r="Q2004"/>
      <c r="R2004"/>
      <c r="S2004"/>
    </row>
    <row r="2005" spans="1:19" x14ac:dyDescent="0.25">
      <c r="A2005"/>
      <c r="B2005"/>
      <c r="C2005"/>
      <c r="D2005"/>
      <c r="E2005"/>
      <c r="F2005"/>
      <c r="G2005"/>
      <c r="H2005"/>
      <c r="I2005"/>
      <c r="J2005"/>
      <c r="K2005"/>
      <c r="L2005"/>
      <c r="M2005"/>
      <c r="N2005"/>
      <c r="O2005"/>
      <c r="P2005"/>
      <c r="Q2005"/>
      <c r="R2005"/>
      <c r="S2005"/>
    </row>
    <row r="2006" spans="1:19" x14ac:dyDescent="0.25">
      <c r="A2006"/>
      <c r="B2006"/>
      <c r="C2006"/>
      <c r="D2006"/>
      <c r="E2006"/>
      <c r="F2006"/>
      <c r="G2006"/>
      <c r="H2006"/>
      <c r="I2006"/>
      <c r="J2006"/>
      <c r="K2006"/>
      <c r="L2006"/>
      <c r="M2006"/>
      <c r="N2006"/>
      <c r="O2006"/>
      <c r="P2006"/>
      <c r="Q2006"/>
      <c r="R2006"/>
      <c r="S2006"/>
    </row>
    <row r="2007" spans="1:19" x14ac:dyDescent="0.25">
      <c r="A2007"/>
      <c r="B2007"/>
      <c r="C2007"/>
      <c r="D2007"/>
      <c r="E2007"/>
      <c r="F2007"/>
      <c r="G2007"/>
      <c r="H2007"/>
      <c r="I2007"/>
      <c r="J2007"/>
      <c r="K2007"/>
      <c r="L2007"/>
      <c r="M2007"/>
      <c r="N2007"/>
      <c r="O2007"/>
      <c r="P2007"/>
      <c r="Q2007"/>
      <c r="R2007"/>
      <c r="S2007"/>
    </row>
    <row r="2008" spans="1:19" x14ac:dyDescent="0.25">
      <c r="A2008"/>
      <c r="B2008"/>
      <c r="C2008"/>
      <c r="D2008"/>
      <c r="E2008"/>
      <c r="F2008"/>
      <c r="G2008"/>
      <c r="H2008"/>
      <c r="I2008"/>
      <c r="J2008"/>
      <c r="K2008"/>
      <c r="L2008"/>
      <c r="M2008"/>
      <c r="N2008"/>
      <c r="O2008"/>
      <c r="P2008"/>
      <c r="Q2008"/>
      <c r="R2008"/>
      <c r="S2008"/>
    </row>
    <row r="2009" spans="1:19" x14ac:dyDescent="0.25">
      <c r="A2009"/>
      <c r="B2009"/>
      <c r="C2009"/>
      <c r="D2009"/>
      <c r="E2009"/>
      <c r="F2009"/>
      <c r="G2009"/>
      <c r="H2009"/>
      <c r="I2009"/>
      <c r="J2009"/>
      <c r="K2009"/>
      <c r="L2009"/>
      <c r="M2009"/>
      <c r="N2009"/>
      <c r="O2009"/>
      <c r="P2009"/>
      <c r="Q2009"/>
      <c r="R2009"/>
      <c r="S2009"/>
    </row>
    <row r="2010" spans="1:19" x14ac:dyDescent="0.25">
      <c r="A2010"/>
      <c r="B2010"/>
      <c r="C2010"/>
      <c r="D2010"/>
      <c r="E2010"/>
      <c r="F2010"/>
      <c r="G2010"/>
      <c r="H2010"/>
      <c r="I2010"/>
      <c r="J2010"/>
      <c r="K2010"/>
      <c r="L2010"/>
      <c r="M2010"/>
      <c r="N2010"/>
      <c r="O2010"/>
      <c r="P2010"/>
      <c r="Q2010"/>
      <c r="R2010"/>
      <c r="S2010"/>
    </row>
    <row r="2011" spans="1:19" x14ac:dyDescent="0.25">
      <c r="A2011"/>
      <c r="B2011"/>
      <c r="C2011"/>
      <c r="D2011"/>
      <c r="E2011"/>
      <c r="F2011"/>
      <c r="G2011"/>
      <c r="H2011"/>
      <c r="I2011"/>
      <c r="J2011"/>
      <c r="K2011"/>
      <c r="L2011"/>
      <c r="M2011"/>
      <c r="N2011"/>
      <c r="O2011"/>
      <c r="P2011"/>
      <c r="Q2011"/>
      <c r="R2011"/>
      <c r="S2011"/>
    </row>
    <row r="2012" spans="1:19" x14ac:dyDescent="0.25">
      <c r="A2012"/>
      <c r="B2012"/>
      <c r="C2012"/>
      <c r="D2012"/>
      <c r="E2012"/>
      <c r="F2012"/>
      <c r="G2012"/>
      <c r="H2012"/>
      <c r="I2012"/>
      <c r="J2012"/>
      <c r="K2012"/>
      <c r="L2012"/>
      <c r="M2012"/>
      <c r="N2012"/>
      <c r="O2012"/>
      <c r="P2012"/>
      <c r="Q2012"/>
      <c r="R2012"/>
      <c r="S2012"/>
    </row>
    <row r="2013" spans="1:19" x14ac:dyDescent="0.25">
      <c r="A2013"/>
      <c r="B2013"/>
      <c r="C2013"/>
      <c r="D2013"/>
      <c r="E2013"/>
      <c r="F2013"/>
      <c r="G2013"/>
      <c r="H2013"/>
      <c r="I2013"/>
      <c r="J2013"/>
      <c r="K2013"/>
      <c r="L2013"/>
      <c r="M2013"/>
      <c r="N2013"/>
      <c r="O2013"/>
      <c r="P2013"/>
      <c r="Q2013"/>
      <c r="R2013"/>
      <c r="S2013"/>
    </row>
    <row r="2014" spans="1:19" x14ac:dyDescent="0.25">
      <c r="A2014"/>
      <c r="B2014"/>
      <c r="C2014"/>
      <c r="D2014"/>
      <c r="E2014"/>
      <c r="F2014"/>
      <c r="G2014"/>
      <c r="H2014"/>
      <c r="I2014"/>
      <c r="J2014"/>
      <c r="K2014"/>
      <c r="L2014"/>
      <c r="M2014"/>
      <c r="N2014"/>
      <c r="O2014"/>
      <c r="P2014"/>
      <c r="Q2014"/>
      <c r="R2014"/>
      <c r="S2014"/>
    </row>
    <row r="2015" spans="1:19" x14ac:dyDescent="0.25">
      <c r="A2015"/>
      <c r="B2015"/>
      <c r="C2015"/>
      <c r="D2015"/>
      <c r="E2015"/>
      <c r="F2015"/>
      <c r="G2015"/>
      <c r="H2015"/>
      <c r="I2015"/>
      <c r="J2015"/>
      <c r="K2015"/>
      <c r="L2015"/>
      <c r="M2015"/>
      <c r="N2015"/>
      <c r="O2015"/>
      <c r="P2015"/>
      <c r="Q2015"/>
      <c r="R2015"/>
      <c r="S2015"/>
    </row>
    <row r="2016" spans="1:19" x14ac:dyDescent="0.25">
      <c r="A2016"/>
      <c r="B2016"/>
      <c r="C2016"/>
      <c r="D2016"/>
      <c r="E2016"/>
      <c r="F2016"/>
      <c r="G2016"/>
      <c r="H2016"/>
      <c r="I2016"/>
      <c r="J2016"/>
      <c r="K2016"/>
      <c r="L2016"/>
      <c r="M2016"/>
      <c r="N2016"/>
      <c r="O2016"/>
      <c r="P2016"/>
      <c r="Q2016"/>
      <c r="R2016"/>
      <c r="S2016"/>
    </row>
    <row r="2017" spans="1:19" x14ac:dyDescent="0.25">
      <c r="A2017"/>
      <c r="B2017"/>
      <c r="C2017"/>
      <c r="D2017"/>
      <c r="E2017"/>
      <c r="F2017"/>
      <c r="G2017"/>
      <c r="H2017"/>
      <c r="I2017"/>
      <c r="J2017"/>
      <c r="K2017"/>
      <c r="L2017"/>
      <c r="M2017"/>
      <c r="N2017"/>
      <c r="O2017"/>
      <c r="P2017"/>
      <c r="Q2017"/>
      <c r="R2017"/>
      <c r="S2017"/>
    </row>
    <row r="2018" spans="1:19" x14ac:dyDescent="0.25">
      <c r="A2018"/>
      <c r="B2018"/>
      <c r="C2018"/>
      <c r="D2018"/>
      <c r="E2018"/>
      <c r="F2018"/>
      <c r="G2018"/>
      <c r="H2018"/>
      <c r="I2018"/>
      <c r="J2018"/>
      <c r="K2018"/>
      <c r="L2018"/>
      <c r="M2018"/>
      <c r="N2018"/>
      <c r="O2018"/>
      <c r="P2018"/>
      <c r="Q2018"/>
      <c r="R2018"/>
      <c r="S2018"/>
    </row>
    <row r="2019" spans="1:19" x14ac:dyDescent="0.25">
      <c r="A2019"/>
      <c r="B2019"/>
      <c r="C2019"/>
      <c r="D2019"/>
      <c r="E2019"/>
      <c r="F2019"/>
      <c r="G2019"/>
      <c r="H2019"/>
      <c r="I2019"/>
      <c r="J2019"/>
      <c r="K2019"/>
      <c r="L2019"/>
      <c r="M2019"/>
      <c r="N2019"/>
      <c r="O2019"/>
      <c r="P2019"/>
      <c r="Q2019"/>
      <c r="R2019"/>
      <c r="S2019"/>
    </row>
    <row r="2020" spans="1:19" x14ac:dyDescent="0.25">
      <c r="A2020"/>
      <c r="B2020"/>
      <c r="C2020"/>
      <c r="D2020"/>
      <c r="E2020"/>
      <c r="F2020"/>
      <c r="G2020"/>
      <c r="H2020"/>
      <c r="I2020"/>
      <c r="J2020"/>
      <c r="K2020"/>
      <c r="L2020"/>
      <c r="M2020"/>
      <c r="N2020"/>
      <c r="O2020"/>
      <c r="P2020"/>
      <c r="Q2020"/>
      <c r="R2020"/>
      <c r="S2020"/>
    </row>
    <row r="2021" spans="1:19" x14ac:dyDescent="0.25">
      <c r="A2021"/>
      <c r="B2021"/>
      <c r="C2021"/>
      <c r="D2021"/>
      <c r="E2021"/>
      <c r="F2021"/>
      <c r="G2021"/>
      <c r="H2021"/>
      <c r="I2021"/>
      <c r="J2021"/>
      <c r="K2021"/>
      <c r="L2021"/>
      <c r="M2021"/>
      <c r="N2021"/>
      <c r="O2021"/>
      <c r="P2021"/>
      <c r="Q2021"/>
      <c r="R2021"/>
      <c r="S2021"/>
    </row>
    <row r="2022" spans="1:19" x14ac:dyDescent="0.25">
      <c r="A2022"/>
      <c r="B2022"/>
      <c r="C2022"/>
      <c r="D2022"/>
      <c r="E2022"/>
      <c r="F2022"/>
      <c r="G2022"/>
      <c r="H2022"/>
      <c r="I2022"/>
      <c r="J2022"/>
      <c r="K2022"/>
      <c r="L2022"/>
      <c r="M2022"/>
      <c r="N2022"/>
      <c r="O2022"/>
      <c r="P2022"/>
      <c r="Q2022"/>
      <c r="R2022"/>
      <c r="S2022"/>
    </row>
    <row r="2023" spans="1:19" x14ac:dyDescent="0.25">
      <c r="A2023"/>
      <c r="B2023"/>
      <c r="C2023"/>
      <c r="D2023"/>
      <c r="E2023"/>
      <c r="F2023"/>
      <c r="G2023"/>
      <c r="H2023"/>
      <c r="I2023"/>
      <c r="J2023"/>
      <c r="K2023"/>
      <c r="L2023"/>
      <c r="M2023"/>
      <c r="N2023"/>
      <c r="O2023"/>
      <c r="P2023"/>
      <c r="Q2023"/>
      <c r="R2023"/>
      <c r="S2023"/>
    </row>
    <row r="2024" spans="1:19" x14ac:dyDescent="0.25">
      <c r="A2024"/>
      <c r="B2024"/>
      <c r="C2024"/>
      <c r="D2024"/>
      <c r="E2024"/>
      <c r="F2024"/>
      <c r="G2024"/>
      <c r="H2024"/>
      <c r="I2024"/>
      <c r="J2024"/>
      <c r="K2024"/>
      <c r="L2024"/>
      <c r="M2024"/>
      <c r="N2024"/>
      <c r="O2024"/>
      <c r="P2024"/>
      <c r="Q2024"/>
      <c r="R2024"/>
      <c r="S2024"/>
    </row>
    <row r="2025" spans="1:19" x14ac:dyDescent="0.25">
      <c r="A2025"/>
      <c r="B2025"/>
      <c r="C2025"/>
      <c r="D2025"/>
      <c r="E2025"/>
      <c r="F2025"/>
      <c r="G2025"/>
      <c r="H2025"/>
      <c r="I2025"/>
      <c r="J2025"/>
      <c r="K2025"/>
      <c r="L2025"/>
      <c r="M2025"/>
      <c r="N2025"/>
      <c r="O2025"/>
      <c r="P2025"/>
      <c r="Q2025"/>
      <c r="R2025"/>
      <c r="S2025"/>
    </row>
    <row r="2026" spans="1:19" x14ac:dyDescent="0.25">
      <c r="A2026"/>
      <c r="B2026"/>
      <c r="C2026"/>
      <c r="D2026"/>
      <c r="E2026"/>
      <c r="F2026"/>
      <c r="G2026"/>
      <c r="H2026"/>
      <c r="I2026"/>
      <c r="J2026"/>
      <c r="K2026"/>
      <c r="L2026"/>
      <c r="M2026"/>
      <c r="N2026"/>
      <c r="O2026"/>
      <c r="P2026"/>
      <c r="Q2026"/>
      <c r="R2026"/>
      <c r="S2026"/>
    </row>
    <row r="2027" spans="1:19" x14ac:dyDescent="0.25">
      <c r="A2027"/>
      <c r="B2027"/>
      <c r="C2027"/>
      <c r="D2027"/>
      <c r="E2027"/>
      <c r="F2027"/>
      <c r="G2027"/>
      <c r="H2027"/>
      <c r="I2027"/>
      <c r="J2027"/>
      <c r="K2027"/>
      <c r="L2027"/>
      <c r="M2027"/>
      <c r="N2027"/>
      <c r="O2027"/>
      <c r="P2027"/>
      <c r="Q2027"/>
      <c r="R2027"/>
      <c r="S2027"/>
    </row>
    <row r="2028" spans="1:19" x14ac:dyDescent="0.25">
      <c r="A2028"/>
      <c r="B2028"/>
      <c r="C2028"/>
      <c r="D2028"/>
      <c r="E2028"/>
      <c r="F2028"/>
      <c r="G2028"/>
      <c r="H2028"/>
      <c r="I2028"/>
      <c r="J2028"/>
      <c r="K2028"/>
      <c r="L2028"/>
      <c r="M2028"/>
      <c r="N2028"/>
      <c r="O2028"/>
      <c r="P2028"/>
      <c r="Q2028"/>
      <c r="R2028"/>
      <c r="S2028"/>
    </row>
    <row r="2029" spans="1:19" x14ac:dyDescent="0.25">
      <c r="A2029"/>
      <c r="B2029"/>
      <c r="C2029"/>
      <c r="D2029"/>
      <c r="E2029"/>
      <c r="F2029"/>
      <c r="G2029"/>
      <c r="H2029"/>
      <c r="I2029"/>
      <c r="J2029"/>
      <c r="K2029"/>
      <c r="L2029"/>
      <c r="M2029"/>
      <c r="N2029"/>
      <c r="O2029"/>
      <c r="P2029"/>
      <c r="Q2029"/>
      <c r="R2029"/>
      <c r="S2029"/>
    </row>
    <row r="2030" spans="1:19" x14ac:dyDescent="0.25">
      <c r="A2030"/>
      <c r="B2030"/>
      <c r="C2030"/>
      <c r="D2030"/>
      <c r="E2030"/>
      <c r="F2030"/>
      <c r="G2030"/>
      <c r="H2030"/>
      <c r="I2030"/>
      <c r="J2030"/>
      <c r="K2030"/>
      <c r="L2030"/>
      <c r="M2030"/>
      <c r="N2030"/>
      <c r="O2030"/>
      <c r="P2030"/>
      <c r="Q2030"/>
      <c r="R2030"/>
      <c r="S2030"/>
    </row>
    <row r="2031" spans="1:19" x14ac:dyDescent="0.25">
      <c r="A2031"/>
      <c r="B2031"/>
      <c r="C2031"/>
      <c r="D2031"/>
      <c r="E2031"/>
      <c r="F2031"/>
      <c r="G2031"/>
      <c r="H2031"/>
      <c r="I2031"/>
      <c r="J2031"/>
      <c r="K2031"/>
      <c r="L2031"/>
      <c r="M2031"/>
      <c r="N2031"/>
      <c r="O2031"/>
      <c r="P2031"/>
      <c r="Q2031"/>
      <c r="R2031"/>
      <c r="S2031"/>
    </row>
    <row r="2032" spans="1:19" x14ac:dyDescent="0.25">
      <c r="A2032"/>
      <c r="B2032"/>
      <c r="C2032"/>
      <c r="D2032"/>
      <c r="E2032"/>
      <c r="F2032"/>
      <c r="G2032"/>
      <c r="H2032"/>
      <c r="I2032"/>
      <c r="J2032"/>
      <c r="K2032"/>
      <c r="L2032"/>
      <c r="M2032"/>
      <c r="N2032"/>
      <c r="O2032"/>
      <c r="P2032"/>
      <c r="Q2032"/>
      <c r="R2032"/>
      <c r="S2032"/>
    </row>
    <row r="2033" spans="1:19" x14ac:dyDescent="0.25">
      <c r="A2033"/>
      <c r="B2033"/>
      <c r="C2033"/>
      <c r="D2033"/>
      <c r="E2033"/>
      <c r="F2033"/>
      <c r="G2033"/>
      <c r="H2033"/>
      <c r="I2033"/>
      <c r="J2033"/>
      <c r="K2033"/>
      <c r="L2033"/>
      <c r="M2033"/>
      <c r="N2033"/>
      <c r="O2033"/>
      <c r="P2033"/>
      <c r="Q2033"/>
      <c r="R2033"/>
      <c r="S2033"/>
    </row>
    <row r="2034" spans="1:19" x14ac:dyDescent="0.25">
      <c r="A2034"/>
      <c r="B2034"/>
      <c r="C2034"/>
      <c r="D2034"/>
      <c r="E2034"/>
      <c r="F2034"/>
      <c r="G2034"/>
      <c r="H2034"/>
      <c r="I2034"/>
      <c r="J2034"/>
      <c r="K2034"/>
      <c r="L2034"/>
      <c r="M2034"/>
      <c r="N2034"/>
      <c r="O2034"/>
      <c r="P2034"/>
      <c r="Q2034"/>
      <c r="R2034"/>
      <c r="S2034"/>
    </row>
    <row r="2035" spans="1:19" x14ac:dyDescent="0.25">
      <c r="A2035"/>
      <c r="B2035"/>
      <c r="C2035"/>
      <c r="D2035"/>
      <c r="E2035"/>
      <c r="F2035"/>
      <c r="G2035"/>
      <c r="H2035"/>
      <c r="I2035"/>
      <c r="J2035"/>
      <c r="K2035"/>
      <c r="L2035"/>
      <c r="M2035"/>
      <c r="N2035"/>
      <c r="O2035"/>
      <c r="P2035"/>
      <c r="Q2035"/>
      <c r="R2035"/>
      <c r="S2035"/>
    </row>
    <row r="2036" spans="1:19" x14ac:dyDescent="0.25">
      <c r="A2036"/>
      <c r="B2036"/>
      <c r="C2036"/>
      <c r="D2036"/>
      <c r="E2036"/>
      <c r="F2036"/>
      <c r="G2036"/>
      <c r="H2036"/>
      <c r="I2036"/>
      <c r="J2036"/>
      <c r="K2036"/>
      <c r="L2036"/>
      <c r="M2036"/>
      <c r="N2036"/>
      <c r="O2036"/>
      <c r="P2036"/>
      <c r="Q2036"/>
      <c r="R2036"/>
      <c r="S2036"/>
    </row>
    <row r="2037" spans="1:19" x14ac:dyDescent="0.25">
      <c r="A2037"/>
      <c r="B2037"/>
      <c r="C2037"/>
      <c r="D2037"/>
      <c r="E2037"/>
      <c r="F2037"/>
      <c r="G2037"/>
      <c r="H2037"/>
      <c r="I2037"/>
      <c r="J2037"/>
      <c r="K2037"/>
      <c r="L2037"/>
      <c r="M2037"/>
      <c r="N2037"/>
      <c r="O2037"/>
      <c r="P2037"/>
      <c r="Q2037"/>
      <c r="R2037"/>
      <c r="S2037"/>
    </row>
    <row r="2038" spans="1:19" x14ac:dyDescent="0.25">
      <c r="A2038"/>
      <c r="B2038"/>
      <c r="C2038"/>
      <c r="D2038"/>
      <c r="E2038"/>
      <c r="F2038"/>
      <c r="G2038"/>
      <c r="H2038"/>
      <c r="I2038"/>
      <c r="J2038"/>
      <c r="K2038"/>
      <c r="L2038"/>
      <c r="M2038"/>
      <c r="N2038"/>
      <c r="O2038"/>
      <c r="P2038"/>
      <c r="Q2038"/>
      <c r="R2038"/>
      <c r="S2038"/>
    </row>
    <row r="2039" spans="1:19" x14ac:dyDescent="0.25">
      <c r="A2039"/>
      <c r="B2039"/>
      <c r="C2039"/>
      <c r="D2039"/>
      <c r="E2039"/>
      <c r="F2039"/>
      <c r="G2039"/>
      <c r="H2039"/>
      <c r="I2039"/>
      <c r="J2039"/>
      <c r="K2039"/>
      <c r="L2039"/>
      <c r="M2039"/>
      <c r="N2039"/>
      <c r="O2039"/>
      <c r="P2039"/>
      <c r="Q2039"/>
      <c r="R2039"/>
      <c r="S2039"/>
    </row>
    <row r="2040" spans="1:19" x14ac:dyDescent="0.25">
      <c r="A2040"/>
      <c r="B2040"/>
      <c r="C2040"/>
      <c r="D2040"/>
      <c r="E2040"/>
      <c r="F2040"/>
      <c r="G2040"/>
      <c r="H2040"/>
      <c r="I2040"/>
      <c r="J2040"/>
      <c r="K2040"/>
      <c r="L2040"/>
      <c r="M2040"/>
      <c r="N2040"/>
      <c r="O2040"/>
      <c r="P2040"/>
      <c r="Q2040"/>
      <c r="R2040"/>
      <c r="S2040"/>
    </row>
    <row r="2041" spans="1:19" x14ac:dyDescent="0.25">
      <c r="A2041"/>
      <c r="B2041"/>
      <c r="C2041"/>
      <c r="D2041"/>
      <c r="E2041"/>
      <c r="F2041"/>
      <c r="G2041"/>
      <c r="H2041"/>
      <c r="I2041"/>
      <c r="J2041"/>
      <c r="K2041"/>
      <c r="L2041"/>
      <c r="M2041"/>
      <c r="N2041"/>
      <c r="O2041"/>
      <c r="P2041"/>
      <c r="Q2041"/>
      <c r="R2041"/>
      <c r="S2041"/>
    </row>
    <row r="2042" spans="1:19" x14ac:dyDescent="0.25">
      <c r="A2042"/>
      <c r="B2042"/>
      <c r="C2042"/>
      <c r="D2042"/>
      <c r="E2042"/>
      <c r="F2042"/>
      <c r="G2042"/>
      <c r="H2042"/>
      <c r="I2042"/>
      <c r="J2042"/>
      <c r="K2042"/>
      <c r="L2042"/>
      <c r="M2042"/>
      <c r="N2042"/>
      <c r="O2042"/>
      <c r="P2042"/>
      <c r="Q2042"/>
      <c r="R2042"/>
      <c r="S2042"/>
    </row>
    <row r="2043" spans="1:19" x14ac:dyDescent="0.25">
      <c r="A2043"/>
      <c r="B2043"/>
      <c r="C2043"/>
      <c r="D2043"/>
      <c r="E2043"/>
      <c r="F2043"/>
      <c r="G2043"/>
      <c r="H2043"/>
      <c r="I2043"/>
      <c r="J2043"/>
      <c r="K2043"/>
      <c r="L2043"/>
      <c r="M2043"/>
      <c r="N2043"/>
      <c r="O2043"/>
      <c r="P2043"/>
      <c r="Q2043"/>
      <c r="R2043"/>
      <c r="S2043"/>
    </row>
    <row r="2044" spans="1:19" x14ac:dyDescent="0.25">
      <c r="A2044"/>
      <c r="B2044"/>
      <c r="C2044"/>
      <c r="D2044"/>
      <c r="E2044"/>
      <c r="F2044"/>
      <c r="G2044"/>
      <c r="H2044"/>
      <c r="I2044"/>
      <c r="J2044"/>
      <c r="K2044"/>
      <c r="L2044"/>
      <c r="M2044"/>
      <c r="N2044"/>
      <c r="O2044"/>
      <c r="P2044"/>
      <c r="Q2044"/>
      <c r="R2044"/>
      <c r="S2044"/>
    </row>
    <row r="2045" spans="1:19" x14ac:dyDescent="0.25">
      <c r="A2045"/>
      <c r="B2045"/>
      <c r="C2045"/>
      <c r="D2045"/>
      <c r="E2045"/>
      <c r="F2045"/>
      <c r="G2045"/>
      <c r="H2045"/>
      <c r="I2045"/>
      <c r="J2045"/>
      <c r="K2045"/>
      <c r="L2045"/>
      <c r="M2045"/>
      <c r="N2045"/>
      <c r="O2045"/>
      <c r="P2045"/>
      <c r="Q2045"/>
      <c r="R2045"/>
      <c r="S2045"/>
    </row>
    <row r="2046" spans="1:19" x14ac:dyDescent="0.25">
      <c r="A2046"/>
      <c r="B2046"/>
      <c r="C2046"/>
      <c r="D2046"/>
      <c r="E2046"/>
      <c r="F2046"/>
      <c r="G2046"/>
      <c r="H2046"/>
      <c r="I2046"/>
      <c r="J2046"/>
      <c r="K2046"/>
      <c r="L2046"/>
      <c r="M2046"/>
      <c r="N2046"/>
      <c r="O2046"/>
      <c r="P2046"/>
      <c r="Q2046"/>
      <c r="R2046"/>
      <c r="S2046"/>
    </row>
    <row r="2047" spans="1:19" x14ac:dyDescent="0.25">
      <c r="A2047"/>
      <c r="B2047"/>
      <c r="C2047"/>
      <c r="D2047"/>
      <c r="E2047"/>
      <c r="F2047"/>
      <c r="G2047"/>
      <c r="H2047"/>
      <c r="I2047"/>
      <c r="J2047"/>
      <c r="K2047"/>
      <c r="L2047"/>
      <c r="M2047"/>
      <c r="N2047"/>
      <c r="O2047"/>
      <c r="P2047"/>
      <c r="Q2047"/>
      <c r="R2047"/>
      <c r="S2047"/>
    </row>
    <row r="2048" spans="1:19" x14ac:dyDescent="0.25">
      <c r="A2048"/>
      <c r="B2048"/>
      <c r="C2048"/>
      <c r="D2048"/>
      <c r="E2048"/>
      <c r="F2048"/>
      <c r="G2048"/>
      <c r="H2048"/>
      <c r="I2048"/>
      <c r="J2048"/>
      <c r="K2048"/>
      <c r="L2048"/>
      <c r="M2048"/>
      <c r="N2048"/>
      <c r="O2048"/>
      <c r="P2048"/>
      <c r="Q2048"/>
      <c r="R2048"/>
      <c r="S2048"/>
    </row>
    <row r="2049" spans="1:19" x14ac:dyDescent="0.25">
      <c r="A2049"/>
      <c r="B2049"/>
      <c r="C2049"/>
      <c r="D2049"/>
      <c r="E2049"/>
      <c r="F2049"/>
      <c r="G2049"/>
      <c r="H2049"/>
      <c r="I2049"/>
      <c r="J2049"/>
      <c r="K2049"/>
      <c r="L2049"/>
      <c r="M2049"/>
      <c r="N2049"/>
      <c r="O2049"/>
      <c r="P2049"/>
      <c r="Q2049"/>
      <c r="R2049"/>
      <c r="S2049"/>
    </row>
    <row r="2050" spans="1:19" x14ac:dyDescent="0.25">
      <c r="A2050"/>
      <c r="B2050"/>
      <c r="C2050"/>
      <c r="D2050"/>
      <c r="E2050"/>
      <c r="F2050"/>
      <c r="G2050"/>
      <c r="H2050"/>
      <c r="I2050"/>
      <c r="J2050"/>
      <c r="K2050"/>
      <c r="L2050"/>
      <c r="M2050"/>
      <c r="N2050"/>
      <c r="O2050"/>
      <c r="P2050"/>
      <c r="Q2050"/>
      <c r="R2050"/>
      <c r="S2050"/>
    </row>
    <row r="2051" spans="1:19" x14ac:dyDescent="0.25">
      <c r="A2051"/>
      <c r="B2051"/>
      <c r="C2051"/>
      <c r="D2051"/>
      <c r="E2051"/>
      <c r="F2051"/>
      <c r="G2051"/>
      <c r="H2051"/>
      <c r="I2051"/>
      <c r="J2051"/>
      <c r="K2051"/>
      <c r="L2051"/>
      <c r="M2051"/>
      <c r="N2051"/>
      <c r="O2051"/>
      <c r="P2051"/>
      <c r="Q2051"/>
      <c r="R2051"/>
      <c r="S2051"/>
    </row>
    <row r="2052" spans="1:19" x14ac:dyDescent="0.25">
      <c r="A2052"/>
      <c r="B2052"/>
      <c r="C2052"/>
      <c r="D2052"/>
      <c r="E2052"/>
      <c r="F2052"/>
      <c r="G2052"/>
      <c r="H2052"/>
      <c r="I2052"/>
      <c r="J2052"/>
      <c r="K2052"/>
      <c r="L2052"/>
      <c r="M2052"/>
      <c r="N2052"/>
      <c r="O2052"/>
      <c r="P2052"/>
      <c r="Q2052"/>
      <c r="R2052"/>
      <c r="S2052"/>
    </row>
    <row r="2053" spans="1:19" x14ac:dyDescent="0.25">
      <c r="A2053"/>
      <c r="B2053"/>
      <c r="C2053"/>
      <c r="D2053"/>
      <c r="E2053"/>
      <c r="F2053"/>
      <c r="G2053"/>
      <c r="H2053"/>
      <c r="I2053"/>
      <c r="J2053"/>
      <c r="K2053"/>
      <c r="L2053"/>
      <c r="M2053"/>
      <c r="N2053"/>
      <c r="O2053"/>
      <c r="P2053"/>
      <c r="Q2053"/>
      <c r="R2053"/>
      <c r="S2053"/>
    </row>
    <row r="2054" spans="1:19" x14ac:dyDescent="0.25">
      <c r="A2054"/>
      <c r="B2054"/>
      <c r="C2054"/>
      <c r="D2054"/>
      <c r="E2054"/>
      <c r="F2054"/>
      <c r="G2054"/>
      <c r="H2054"/>
      <c r="I2054"/>
      <c r="J2054"/>
      <c r="K2054"/>
      <c r="L2054"/>
      <c r="M2054"/>
      <c r="N2054"/>
      <c r="O2054"/>
      <c r="P2054"/>
      <c r="Q2054"/>
      <c r="R2054"/>
      <c r="S2054"/>
    </row>
    <row r="2055" spans="1:19" x14ac:dyDescent="0.25">
      <c r="A2055"/>
      <c r="B2055"/>
      <c r="C2055"/>
      <c r="D2055"/>
      <c r="E2055"/>
      <c r="F2055"/>
      <c r="G2055"/>
      <c r="H2055"/>
      <c r="I2055"/>
      <c r="J2055"/>
      <c r="K2055"/>
      <c r="L2055"/>
      <c r="M2055"/>
      <c r="N2055"/>
      <c r="O2055"/>
      <c r="P2055"/>
      <c r="Q2055"/>
      <c r="R2055"/>
      <c r="S2055"/>
    </row>
    <row r="2056" spans="1:19" x14ac:dyDescent="0.25">
      <c r="A2056"/>
      <c r="B2056"/>
      <c r="C2056"/>
      <c r="D2056"/>
      <c r="E2056"/>
      <c r="F2056"/>
      <c r="G2056"/>
      <c r="H2056"/>
      <c r="I2056"/>
      <c r="J2056"/>
      <c r="K2056"/>
      <c r="L2056"/>
      <c r="M2056"/>
      <c r="N2056"/>
      <c r="O2056"/>
      <c r="P2056"/>
      <c r="Q2056"/>
      <c r="R2056"/>
      <c r="S2056"/>
    </row>
    <row r="2057" spans="1:19" x14ac:dyDescent="0.25">
      <c r="A2057"/>
      <c r="B2057"/>
      <c r="C2057"/>
      <c r="D2057"/>
      <c r="E2057"/>
      <c r="F2057"/>
      <c r="G2057"/>
      <c r="H2057"/>
      <c r="I2057"/>
      <c r="J2057"/>
      <c r="K2057"/>
      <c r="L2057"/>
      <c r="M2057"/>
      <c r="N2057"/>
      <c r="O2057"/>
      <c r="P2057"/>
      <c r="Q2057"/>
      <c r="R2057"/>
      <c r="S2057"/>
    </row>
    <row r="2058" spans="1:19" x14ac:dyDescent="0.25">
      <c r="A2058"/>
      <c r="B2058"/>
      <c r="C2058"/>
      <c r="D2058"/>
      <c r="E2058"/>
      <c r="F2058"/>
      <c r="G2058"/>
      <c r="H2058"/>
      <c r="I2058"/>
      <c r="J2058"/>
      <c r="K2058"/>
      <c r="L2058"/>
      <c r="M2058"/>
      <c r="N2058"/>
      <c r="O2058"/>
      <c r="P2058"/>
      <c r="Q2058"/>
      <c r="R2058"/>
      <c r="S2058"/>
    </row>
    <row r="2059" spans="1:19" x14ac:dyDescent="0.25">
      <c r="A2059"/>
      <c r="B2059"/>
      <c r="C2059"/>
      <c r="D2059"/>
      <c r="E2059"/>
      <c r="F2059"/>
      <c r="G2059"/>
      <c r="H2059"/>
      <c r="I2059"/>
      <c r="J2059"/>
      <c r="K2059"/>
      <c r="L2059"/>
      <c r="M2059"/>
      <c r="N2059"/>
      <c r="O2059"/>
      <c r="P2059"/>
      <c r="Q2059"/>
      <c r="R2059"/>
      <c r="S2059"/>
    </row>
    <row r="2060" spans="1:19" x14ac:dyDescent="0.25">
      <c r="A2060"/>
      <c r="B2060"/>
      <c r="C2060"/>
      <c r="D2060"/>
      <c r="E2060"/>
      <c r="F2060"/>
      <c r="G2060"/>
      <c r="H2060"/>
      <c r="I2060"/>
      <c r="J2060"/>
      <c r="K2060"/>
      <c r="L2060"/>
      <c r="M2060"/>
      <c r="N2060"/>
      <c r="O2060"/>
      <c r="P2060"/>
      <c r="Q2060"/>
      <c r="R2060"/>
      <c r="S2060"/>
    </row>
    <row r="2061" spans="1:19" x14ac:dyDescent="0.25">
      <c r="A2061"/>
      <c r="B2061"/>
      <c r="C2061"/>
      <c r="D2061"/>
      <c r="E2061"/>
      <c r="F2061"/>
      <c r="G2061"/>
      <c r="H2061"/>
      <c r="I2061"/>
      <c r="J2061"/>
      <c r="K2061"/>
      <c r="L2061"/>
      <c r="M2061"/>
      <c r="N2061"/>
      <c r="O2061"/>
      <c r="P2061"/>
      <c r="Q2061"/>
      <c r="R2061"/>
      <c r="S2061"/>
    </row>
    <row r="2062" spans="1:19" x14ac:dyDescent="0.25">
      <c r="A2062"/>
      <c r="B2062"/>
      <c r="C2062"/>
      <c r="D2062"/>
      <c r="E2062"/>
      <c r="F2062"/>
      <c r="G2062"/>
      <c r="H2062"/>
      <c r="I2062"/>
      <c r="J2062"/>
      <c r="K2062"/>
      <c r="L2062"/>
      <c r="M2062"/>
      <c r="N2062"/>
      <c r="O2062"/>
      <c r="P2062"/>
      <c r="Q2062"/>
      <c r="R2062"/>
      <c r="S2062"/>
    </row>
    <row r="2063" spans="1:19" x14ac:dyDescent="0.25">
      <c r="A2063"/>
      <c r="B2063"/>
      <c r="C2063"/>
      <c r="D2063"/>
      <c r="E2063"/>
      <c r="F2063"/>
      <c r="G2063"/>
      <c r="H2063"/>
      <c r="I2063"/>
      <c r="J2063"/>
      <c r="K2063"/>
      <c r="L2063"/>
      <c r="M2063"/>
      <c r="N2063"/>
      <c r="O2063"/>
      <c r="P2063"/>
      <c r="Q2063"/>
      <c r="R2063"/>
      <c r="S2063"/>
    </row>
    <row r="2064" spans="1:19" x14ac:dyDescent="0.25">
      <c r="A2064"/>
      <c r="B2064"/>
      <c r="C2064"/>
      <c r="D2064"/>
      <c r="E2064"/>
      <c r="F2064"/>
      <c r="G2064"/>
      <c r="H2064"/>
      <c r="I2064"/>
      <c r="J2064"/>
      <c r="K2064"/>
      <c r="L2064"/>
      <c r="M2064"/>
      <c r="N2064"/>
      <c r="O2064"/>
      <c r="P2064"/>
      <c r="Q2064"/>
      <c r="R2064"/>
      <c r="S2064"/>
    </row>
    <row r="2065" spans="1:19" x14ac:dyDescent="0.25">
      <c r="A2065"/>
      <c r="B2065"/>
      <c r="C2065"/>
      <c r="D2065"/>
      <c r="E2065"/>
      <c r="F2065"/>
      <c r="G2065"/>
      <c r="H2065"/>
      <c r="I2065"/>
      <c r="J2065"/>
      <c r="K2065"/>
      <c r="L2065"/>
      <c r="M2065"/>
      <c r="N2065"/>
      <c r="O2065"/>
      <c r="P2065"/>
      <c r="Q2065"/>
      <c r="R2065"/>
      <c r="S2065"/>
    </row>
    <row r="2066" spans="1:19" x14ac:dyDescent="0.25">
      <c r="A2066"/>
      <c r="B2066"/>
      <c r="C2066"/>
      <c r="D2066"/>
      <c r="E2066"/>
      <c r="F2066"/>
      <c r="G2066"/>
      <c r="H2066"/>
      <c r="I2066"/>
      <c r="J2066"/>
      <c r="K2066"/>
      <c r="L2066"/>
      <c r="M2066"/>
      <c r="N2066"/>
      <c r="O2066"/>
      <c r="P2066"/>
      <c r="Q2066"/>
      <c r="R2066"/>
      <c r="S2066"/>
    </row>
    <row r="2067" spans="1:19" x14ac:dyDescent="0.25">
      <c r="A2067"/>
      <c r="B2067"/>
      <c r="C2067"/>
      <c r="D2067"/>
      <c r="E2067"/>
      <c r="F2067"/>
      <c r="G2067"/>
      <c r="H2067"/>
      <c r="I2067"/>
      <c r="J2067"/>
      <c r="K2067"/>
      <c r="L2067"/>
      <c r="M2067"/>
      <c r="N2067"/>
      <c r="O2067"/>
      <c r="P2067"/>
      <c r="Q2067"/>
      <c r="R2067"/>
      <c r="S2067"/>
    </row>
    <row r="2068" spans="1:19" x14ac:dyDescent="0.25">
      <c r="A2068"/>
      <c r="B2068"/>
      <c r="C2068"/>
      <c r="D2068"/>
      <c r="E2068"/>
      <c r="F2068"/>
      <c r="G2068"/>
      <c r="H2068"/>
      <c r="I2068"/>
      <c r="J2068"/>
      <c r="K2068"/>
      <c r="L2068"/>
      <c r="M2068"/>
      <c r="N2068"/>
      <c r="O2068"/>
      <c r="P2068"/>
      <c r="Q2068"/>
      <c r="R2068"/>
      <c r="S2068"/>
    </row>
    <row r="2069" spans="1:19" x14ac:dyDescent="0.25">
      <c r="A2069"/>
      <c r="B2069"/>
      <c r="C2069"/>
      <c r="D2069"/>
      <c r="E2069"/>
      <c r="F2069"/>
      <c r="G2069"/>
      <c r="H2069"/>
      <c r="I2069"/>
      <c r="J2069"/>
      <c r="K2069"/>
      <c r="L2069"/>
      <c r="M2069"/>
      <c r="N2069"/>
      <c r="O2069"/>
      <c r="P2069"/>
      <c r="Q2069"/>
      <c r="R2069"/>
      <c r="S2069"/>
    </row>
    <row r="2070" spans="1:19" x14ac:dyDescent="0.25">
      <c r="A2070"/>
      <c r="B2070"/>
      <c r="C2070"/>
      <c r="D2070"/>
      <c r="E2070"/>
      <c r="F2070"/>
      <c r="G2070"/>
      <c r="H2070"/>
      <c r="I2070"/>
      <c r="J2070"/>
      <c r="K2070"/>
      <c r="L2070"/>
      <c r="M2070"/>
      <c r="N2070"/>
      <c r="O2070"/>
      <c r="P2070"/>
      <c r="Q2070"/>
      <c r="R2070"/>
      <c r="S2070"/>
    </row>
    <row r="2071" spans="1:19" x14ac:dyDescent="0.25">
      <c r="A2071"/>
      <c r="B2071"/>
      <c r="C2071"/>
      <c r="D2071"/>
      <c r="E2071"/>
      <c r="F2071"/>
      <c r="G2071"/>
      <c r="H2071"/>
      <c r="I2071"/>
      <c r="J2071"/>
      <c r="K2071"/>
      <c r="L2071"/>
      <c r="M2071"/>
      <c r="N2071"/>
      <c r="O2071"/>
      <c r="P2071"/>
      <c r="Q2071"/>
      <c r="R2071"/>
      <c r="S2071"/>
    </row>
    <row r="2072" spans="1:19" x14ac:dyDescent="0.25">
      <c r="A2072"/>
      <c r="B2072"/>
      <c r="C2072"/>
      <c r="D2072"/>
      <c r="E2072"/>
      <c r="F2072"/>
      <c r="G2072"/>
      <c r="H2072"/>
      <c r="I2072"/>
      <c r="J2072"/>
      <c r="K2072"/>
      <c r="L2072"/>
      <c r="M2072"/>
      <c r="N2072"/>
      <c r="O2072"/>
      <c r="P2072"/>
      <c r="Q2072"/>
      <c r="R2072"/>
      <c r="S2072"/>
    </row>
    <row r="2073" spans="1:19" x14ac:dyDescent="0.25">
      <c r="A2073"/>
      <c r="B2073"/>
      <c r="C2073"/>
      <c r="D2073"/>
      <c r="E2073"/>
      <c r="F2073"/>
      <c r="G2073"/>
      <c r="H2073"/>
      <c r="I2073"/>
      <c r="J2073"/>
      <c r="K2073"/>
      <c r="L2073"/>
      <c r="M2073"/>
      <c r="N2073"/>
      <c r="O2073"/>
      <c r="P2073"/>
      <c r="Q2073"/>
      <c r="R2073"/>
      <c r="S2073"/>
    </row>
    <row r="2074" spans="1:19" x14ac:dyDescent="0.25">
      <c r="A2074"/>
      <c r="B2074"/>
      <c r="C2074"/>
      <c r="D2074"/>
      <c r="E2074"/>
      <c r="F2074"/>
      <c r="G2074"/>
      <c r="H2074"/>
      <c r="I2074"/>
      <c r="J2074"/>
      <c r="K2074"/>
      <c r="L2074"/>
      <c r="M2074"/>
      <c r="N2074"/>
      <c r="O2074"/>
      <c r="P2074"/>
      <c r="Q2074"/>
      <c r="R2074"/>
      <c r="S2074"/>
    </row>
    <row r="2075" spans="1:19" x14ac:dyDescent="0.25">
      <c r="A2075"/>
      <c r="B2075"/>
      <c r="C2075"/>
      <c r="D2075"/>
      <c r="E2075"/>
      <c r="F2075"/>
      <c r="G2075"/>
      <c r="H2075"/>
      <c r="I2075"/>
      <c r="J2075"/>
      <c r="K2075"/>
      <c r="L2075"/>
      <c r="M2075"/>
      <c r="N2075"/>
      <c r="O2075"/>
      <c r="P2075"/>
      <c r="Q2075"/>
      <c r="R2075"/>
      <c r="S2075"/>
    </row>
    <row r="2076" spans="1:19" x14ac:dyDescent="0.25">
      <c r="A2076"/>
      <c r="B2076"/>
      <c r="C2076"/>
      <c r="D2076"/>
      <c r="E2076"/>
      <c r="F2076"/>
      <c r="G2076"/>
      <c r="H2076"/>
      <c r="I2076"/>
      <c r="J2076"/>
      <c r="K2076"/>
      <c r="L2076"/>
      <c r="M2076"/>
      <c r="N2076"/>
      <c r="O2076"/>
      <c r="P2076"/>
      <c r="Q2076"/>
      <c r="R2076"/>
      <c r="S2076"/>
    </row>
    <row r="2077" spans="1:19" x14ac:dyDescent="0.25">
      <c r="A2077"/>
      <c r="B2077"/>
      <c r="C2077"/>
      <c r="D2077"/>
      <c r="E2077"/>
      <c r="F2077"/>
      <c r="G2077"/>
      <c r="H2077"/>
      <c r="I2077"/>
      <c r="J2077"/>
      <c r="K2077"/>
      <c r="L2077"/>
      <c r="M2077"/>
      <c r="N2077"/>
      <c r="O2077"/>
      <c r="P2077"/>
      <c r="Q2077"/>
      <c r="R2077"/>
      <c r="S2077"/>
    </row>
    <row r="2078" spans="1:19" x14ac:dyDescent="0.25">
      <c r="A2078"/>
      <c r="B2078"/>
      <c r="C2078"/>
      <c r="D2078"/>
      <c r="E2078"/>
      <c r="F2078"/>
      <c r="G2078"/>
      <c r="H2078"/>
      <c r="I2078"/>
      <c r="J2078"/>
      <c r="K2078"/>
      <c r="L2078"/>
      <c r="M2078"/>
      <c r="N2078"/>
      <c r="O2078"/>
      <c r="P2078"/>
      <c r="Q2078"/>
      <c r="R2078"/>
      <c r="S2078"/>
    </row>
    <row r="2079" spans="1:19" x14ac:dyDescent="0.25">
      <c r="A2079"/>
      <c r="B2079"/>
      <c r="C2079"/>
      <c r="D2079"/>
      <c r="E2079"/>
      <c r="F2079"/>
      <c r="G2079"/>
      <c r="H2079"/>
      <c r="I2079"/>
      <c r="J2079"/>
      <c r="K2079"/>
      <c r="L2079"/>
      <c r="M2079"/>
      <c r="N2079"/>
      <c r="O2079"/>
      <c r="P2079"/>
      <c r="Q2079"/>
      <c r="R2079"/>
      <c r="S2079"/>
    </row>
    <row r="2080" spans="1:19" x14ac:dyDescent="0.25">
      <c r="A2080"/>
      <c r="B2080"/>
      <c r="C2080"/>
      <c r="D2080"/>
      <c r="E2080"/>
      <c r="F2080"/>
      <c r="G2080"/>
      <c r="H2080"/>
      <c r="I2080"/>
      <c r="J2080"/>
      <c r="K2080"/>
      <c r="L2080"/>
      <c r="M2080"/>
      <c r="N2080"/>
      <c r="O2080"/>
      <c r="P2080"/>
      <c r="Q2080"/>
      <c r="R2080"/>
      <c r="S2080"/>
    </row>
    <row r="2081" spans="1:19" x14ac:dyDescent="0.25">
      <c r="A2081"/>
      <c r="B2081"/>
      <c r="C2081"/>
      <c r="D2081"/>
      <c r="E2081"/>
      <c r="F2081"/>
      <c r="G2081"/>
      <c r="H2081"/>
      <c r="I2081"/>
      <c r="J2081"/>
      <c r="K2081"/>
      <c r="L2081"/>
      <c r="M2081"/>
      <c r="N2081"/>
      <c r="O2081"/>
      <c r="P2081"/>
      <c r="Q2081"/>
      <c r="R2081"/>
      <c r="S2081"/>
    </row>
    <row r="2082" spans="1:19" x14ac:dyDescent="0.25">
      <c r="A2082"/>
      <c r="B2082"/>
      <c r="C2082"/>
      <c r="D2082"/>
      <c r="E2082"/>
      <c r="F2082"/>
      <c r="G2082"/>
      <c r="H2082"/>
      <c r="I2082"/>
      <c r="J2082"/>
      <c r="K2082"/>
      <c r="L2082"/>
      <c r="M2082"/>
      <c r="N2082"/>
      <c r="O2082"/>
      <c r="P2082"/>
      <c r="Q2082"/>
      <c r="R2082"/>
      <c r="S2082"/>
    </row>
    <row r="2083" spans="1:19" x14ac:dyDescent="0.25">
      <c r="A2083"/>
      <c r="B2083"/>
      <c r="C2083"/>
      <c r="D2083"/>
      <c r="E2083"/>
      <c r="F2083"/>
      <c r="G2083"/>
      <c r="H2083"/>
      <c r="I2083"/>
      <c r="J2083"/>
      <c r="K2083"/>
      <c r="L2083"/>
      <c r="M2083"/>
      <c r="N2083"/>
      <c r="O2083"/>
      <c r="P2083"/>
      <c r="Q2083"/>
      <c r="R2083"/>
      <c r="S2083"/>
    </row>
    <row r="2084" spans="1:19" x14ac:dyDescent="0.25">
      <c r="A2084"/>
      <c r="B2084"/>
      <c r="C2084"/>
      <c r="D2084"/>
      <c r="E2084"/>
      <c r="F2084"/>
      <c r="G2084"/>
      <c r="H2084"/>
      <c r="I2084"/>
      <c r="J2084"/>
      <c r="K2084"/>
      <c r="L2084"/>
      <c r="M2084"/>
      <c r="N2084"/>
      <c r="O2084"/>
      <c r="P2084"/>
      <c r="Q2084"/>
      <c r="R2084"/>
      <c r="S2084"/>
    </row>
    <row r="2085" spans="1:19" x14ac:dyDescent="0.25">
      <c r="A2085"/>
      <c r="B2085"/>
      <c r="C2085"/>
      <c r="D2085"/>
      <c r="E2085"/>
      <c r="F2085"/>
      <c r="G2085"/>
      <c r="H2085"/>
      <c r="I2085"/>
      <c r="J2085"/>
      <c r="K2085"/>
      <c r="L2085"/>
      <c r="M2085"/>
      <c r="N2085"/>
      <c r="O2085"/>
      <c r="P2085"/>
      <c r="Q2085"/>
      <c r="R2085"/>
      <c r="S2085"/>
    </row>
    <row r="2086" spans="1:19" x14ac:dyDescent="0.25">
      <c r="A2086"/>
      <c r="B2086"/>
      <c r="C2086"/>
      <c r="D2086"/>
      <c r="E2086"/>
      <c r="F2086"/>
      <c r="G2086"/>
      <c r="H2086"/>
      <c r="I2086"/>
      <c r="J2086"/>
      <c r="K2086"/>
      <c r="L2086"/>
      <c r="M2086"/>
      <c r="N2086"/>
      <c r="O2086"/>
      <c r="P2086"/>
      <c r="Q2086"/>
      <c r="R2086"/>
      <c r="S2086"/>
    </row>
    <row r="2087" spans="1:19" x14ac:dyDescent="0.25">
      <c r="A2087"/>
      <c r="B2087"/>
      <c r="C2087"/>
      <c r="D2087"/>
      <c r="E2087"/>
      <c r="F2087"/>
      <c r="G2087"/>
      <c r="H2087"/>
      <c r="I2087"/>
      <c r="J2087"/>
      <c r="K2087"/>
      <c r="L2087"/>
      <c r="M2087"/>
      <c r="N2087"/>
      <c r="O2087"/>
      <c r="P2087"/>
      <c r="Q2087"/>
      <c r="R2087"/>
      <c r="S2087"/>
    </row>
    <row r="2088" spans="1:19" x14ac:dyDescent="0.25">
      <c r="A2088"/>
      <c r="B2088"/>
      <c r="C2088"/>
      <c r="D2088"/>
      <c r="E2088"/>
      <c r="F2088"/>
      <c r="G2088"/>
      <c r="H2088"/>
      <c r="I2088"/>
      <c r="J2088"/>
      <c r="K2088"/>
      <c r="L2088"/>
      <c r="M2088"/>
      <c r="N2088"/>
      <c r="O2088"/>
      <c r="P2088"/>
      <c r="Q2088"/>
      <c r="R2088"/>
      <c r="S2088"/>
    </row>
    <row r="2089" spans="1:19" x14ac:dyDescent="0.25">
      <c r="A2089"/>
      <c r="B2089"/>
      <c r="C2089"/>
      <c r="D2089"/>
      <c r="E2089"/>
      <c r="F2089"/>
      <c r="G2089"/>
      <c r="H2089"/>
      <c r="I2089"/>
      <c r="J2089"/>
      <c r="K2089"/>
      <c r="L2089"/>
      <c r="M2089"/>
      <c r="N2089"/>
      <c r="O2089"/>
      <c r="P2089"/>
      <c r="Q2089"/>
      <c r="R2089"/>
      <c r="S2089"/>
    </row>
    <row r="2090" spans="1:19" x14ac:dyDescent="0.25">
      <c r="A2090"/>
      <c r="B2090"/>
      <c r="C2090"/>
      <c r="D2090"/>
      <c r="E2090"/>
      <c r="F2090"/>
      <c r="G2090"/>
      <c r="H2090"/>
      <c r="I2090"/>
      <c r="J2090"/>
      <c r="K2090"/>
      <c r="L2090"/>
      <c r="M2090"/>
      <c r="N2090"/>
      <c r="O2090"/>
      <c r="P2090"/>
      <c r="Q2090"/>
      <c r="R2090"/>
      <c r="S2090"/>
    </row>
    <row r="2091" spans="1:19" x14ac:dyDescent="0.25">
      <c r="A2091"/>
      <c r="B2091"/>
      <c r="C2091"/>
      <c r="D2091"/>
      <c r="E2091"/>
      <c r="F2091"/>
      <c r="G2091"/>
      <c r="H2091"/>
      <c r="I2091"/>
      <c r="J2091"/>
      <c r="K2091"/>
      <c r="L2091"/>
      <c r="M2091"/>
      <c r="N2091"/>
      <c r="O2091"/>
      <c r="P2091"/>
      <c r="Q2091"/>
      <c r="R2091"/>
      <c r="S2091"/>
    </row>
    <row r="2092" spans="1:19" x14ac:dyDescent="0.25">
      <c r="A2092"/>
      <c r="B2092"/>
      <c r="C2092"/>
      <c r="D2092"/>
      <c r="E2092"/>
      <c r="F2092"/>
      <c r="G2092"/>
      <c r="H2092"/>
      <c r="I2092"/>
      <c r="J2092"/>
      <c r="K2092"/>
      <c r="L2092"/>
      <c r="M2092"/>
      <c r="N2092"/>
      <c r="O2092"/>
      <c r="P2092"/>
      <c r="Q2092"/>
      <c r="R2092"/>
      <c r="S2092"/>
    </row>
    <row r="2093" spans="1:19" x14ac:dyDescent="0.25">
      <c r="A2093"/>
      <c r="B2093"/>
      <c r="C2093"/>
      <c r="D2093"/>
      <c r="E2093"/>
      <c r="F2093"/>
      <c r="G2093"/>
      <c r="H2093"/>
      <c r="I2093"/>
      <c r="J2093"/>
      <c r="K2093"/>
      <c r="L2093"/>
      <c r="M2093"/>
      <c r="N2093"/>
      <c r="O2093"/>
      <c r="P2093"/>
      <c r="Q2093"/>
      <c r="R2093"/>
      <c r="S2093"/>
    </row>
    <row r="2094" spans="1:19" x14ac:dyDescent="0.25">
      <c r="A2094"/>
      <c r="B2094"/>
      <c r="C2094"/>
      <c r="D2094"/>
      <c r="E2094"/>
      <c r="F2094"/>
      <c r="G2094"/>
      <c r="H2094"/>
      <c r="I2094"/>
      <c r="J2094"/>
      <c r="K2094"/>
      <c r="L2094"/>
      <c r="M2094"/>
      <c r="N2094"/>
      <c r="O2094"/>
      <c r="P2094"/>
      <c r="Q2094"/>
      <c r="R2094"/>
      <c r="S2094"/>
    </row>
    <row r="2095" spans="1:19" x14ac:dyDescent="0.25">
      <c r="A2095"/>
      <c r="B2095"/>
      <c r="C2095"/>
      <c r="D2095"/>
      <c r="E2095"/>
      <c r="F2095"/>
      <c r="G2095"/>
      <c r="H2095"/>
      <c r="I2095"/>
      <c r="J2095"/>
      <c r="K2095"/>
      <c r="L2095"/>
      <c r="M2095"/>
      <c r="N2095"/>
      <c r="O2095"/>
      <c r="P2095"/>
      <c r="Q2095"/>
      <c r="R2095"/>
      <c r="S2095"/>
    </row>
    <row r="2096" spans="1:19" x14ac:dyDescent="0.25">
      <c r="A2096"/>
      <c r="B2096"/>
      <c r="C2096"/>
      <c r="D2096"/>
      <c r="E2096"/>
      <c r="F2096"/>
      <c r="G2096"/>
      <c r="H2096"/>
      <c r="I2096"/>
      <c r="J2096"/>
      <c r="K2096"/>
      <c r="L2096"/>
      <c r="M2096"/>
      <c r="N2096"/>
      <c r="O2096"/>
      <c r="P2096"/>
      <c r="Q2096"/>
      <c r="R2096"/>
      <c r="S2096"/>
    </row>
    <row r="2097" spans="1:19" x14ac:dyDescent="0.25">
      <c r="A2097"/>
      <c r="B2097"/>
      <c r="C2097"/>
      <c r="D2097"/>
      <c r="E2097"/>
      <c r="F2097"/>
      <c r="G2097"/>
      <c r="H2097"/>
      <c r="I2097"/>
      <c r="J2097"/>
      <c r="K2097"/>
      <c r="L2097"/>
      <c r="M2097"/>
      <c r="N2097"/>
      <c r="O2097"/>
      <c r="P2097"/>
      <c r="Q2097"/>
      <c r="R2097"/>
      <c r="S2097"/>
    </row>
    <row r="2098" spans="1:19" x14ac:dyDescent="0.25">
      <c r="A2098"/>
      <c r="B2098"/>
      <c r="C2098"/>
      <c r="D2098"/>
      <c r="E2098"/>
      <c r="F2098"/>
      <c r="G2098"/>
      <c r="H2098"/>
      <c r="I2098"/>
      <c r="J2098"/>
      <c r="K2098"/>
      <c r="L2098"/>
      <c r="M2098"/>
      <c r="N2098"/>
      <c r="O2098"/>
      <c r="P2098"/>
      <c r="Q2098"/>
      <c r="R2098"/>
      <c r="S2098"/>
    </row>
    <row r="2099" spans="1:19" x14ac:dyDescent="0.25">
      <c r="A2099"/>
      <c r="B2099"/>
      <c r="C2099"/>
      <c r="D2099"/>
      <c r="E2099"/>
      <c r="F2099"/>
      <c r="G2099"/>
      <c r="H2099"/>
      <c r="I2099"/>
      <c r="J2099"/>
      <c r="K2099"/>
      <c r="L2099"/>
      <c r="M2099"/>
      <c r="N2099"/>
      <c r="O2099"/>
      <c r="P2099"/>
      <c r="Q2099"/>
      <c r="R2099"/>
      <c r="S2099"/>
    </row>
    <row r="2100" spans="1:19" x14ac:dyDescent="0.25">
      <c r="A2100"/>
      <c r="B2100"/>
      <c r="C2100"/>
      <c r="D2100"/>
      <c r="E2100"/>
      <c r="F2100"/>
      <c r="G2100"/>
      <c r="H2100"/>
      <c r="I2100"/>
      <c r="J2100"/>
      <c r="K2100"/>
      <c r="L2100"/>
      <c r="M2100"/>
      <c r="N2100"/>
      <c r="O2100"/>
      <c r="P2100"/>
      <c r="Q2100"/>
      <c r="R2100"/>
      <c r="S2100"/>
    </row>
    <row r="2101" spans="1:19" x14ac:dyDescent="0.25">
      <c r="A2101"/>
      <c r="B2101"/>
      <c r="C2101"/>
      <c r="D2101"/>
      <c r="E2101"/>
      <c r="F2101"/>
      <c r="G2101"/>
      <c r="H2101"/>
      <c r="I2101"/>
      <c r="J2101"/>
      <c r="K2101"/>
      <c r="L2101"/>
      <c r="M2101"/>
      <c r="N2101"/>
      <c r="O2101"/>
      <c r="P2101"/>
      <c r="Q2101"/>
      <c r="R2101"/>
      <c r="S2101"/>
    </row>
    <row r="2102" spans="1:19" x14ac:dyDescent="0.25">
      <c r="A2102"/>
      <c r="B2102"/>
      <c r="C2102"/>
      <c r="D2102"/>
      <c r="E2102"/>
      <c r="F2102"/>
      <c r="G2102"/>
      <c r="H2102"/>
      <c r="I2102"/>
      <c r="J2102"/>
      <c r="K2102"/>
      <c r="L2102"/>
      <c r="M2102"/>
      <c r="N2102"/>
      <c r="O2102"/>
      <c r="P2102"/>
      <c r="Q2102"/>
      <c r="R2102"/>
      <c r="S2102"/>
    </row>
    <row r="2103" spans="1:19" x14ac:dyDescent="0.25">
      <c r="A2103"/>
      <c r="B2103"/>
      <c r="C2103"/>
      <c r="D2103"/>
      <c r="E2103"/>
      <c r="F2103"/>
      <c r="G2103"/>
      <c r="H2103"/>
      <c r="I2103"/>
      <c r="J2103"/>
      <c r="K2103"/>
      <c r="L2103"/>
      <c r="M2103"/>
      <c r="N2103"/>
      <c r="O2103"/>
      <c r="P2103"/>
      <c r="Q2103"/>
      <c r="R2103"/>
      <c r="S2103"/>
    </row>
    <row r="2104" spans="1:19" x14ac:dyDescent="0.25">
      <c r="A2104"/>
      <c r="B2104"/>
      <c r="C2104"/>
      <c r="D2104"/>
      <c r="E2104"/>
      <c r="F2104"/>
      <c r="G2104"/>
      <c r="H2104"/>
      <c r="I2104"/>
      <c r="J2104"/>
      <c r="K2104"/>
      <c r="L2104"/>
      <c r="M2104"/>
      <c r="N2104"/>
      <c r="O2104"/>
      <c r="P2104"/>
      <c r="Q2104"/>
      <c r="R2104"/>
      <c r="S2104"/>
    </row>
    <row r="2105" spans="1:19" x14ac:dyDescent="0.25">
      <c r="A2105"/>
      <c r="B2105"/>
      <c r="C2105"/>
      <c r="D2105"/>
      <c r="E2105"/>
      <c r="F2105"/>
      <c r="G2105"/>
      <c r="H2105"/>
      <c r="I2105"/>
      <c r="J2105"/>
      <c r="K2105"/>
      <c r="L2105"/>
      <c r="M2105"/>
      <c r="N2105"/>
      <c r="O2105"/>
      <c r="P2105"/>
      <c r="Q2105"/>
      <c r="R2105"/>
      <c r="S2105"/>
    </row>
    <row r="2106" spans="1:19" x14ac:dyDescent="0.25">
      <c r="A2106"/>
      <c r="B2106"/>
      <c r="C2106"/>
      <c r="D2106"/>
      <c r="E2106"/>
      <c r="F2106"/>
      <c r="G2106"/>
      <c r="H2106"/>
      <c r="I2106"/>
      <c r="J2106"/>
      <c r="K2106"/>
      <c r="L2106"/>
      <c r="M2106"/>
      <c r="N2106"/>
      <c r="O2106"/>
      <c r="P2106"/>
      <c r="Q2106"/>
      <c r="R2106"/>
      <c r="S2106"/>
    </row>
    <row r="2107" spans="1:19" x14ac:dyDescent="0.25">
      <c r="A2107"/>
      <c r="B2107"/>
      <c r="C2107"/>
      <c r="D2107"/>
      <c r="E2107"/>
      <c r="F2107"/>
      <c r="G2107"/>
      <c r="H2107"/>
      <c r="I2107"/>
      <c r="J2107"/>
      <c r="K2107"/>
      <c r="L2107"/>
      <c r="M2107"/>
      <c r="N2107"/>
      <c r="O2107"/>
      <c r="P2107"/>
      <c r="Q2107"/>
      <c r="R2107"/>
      <c r="S2107"/>
    </row>
    <row r="2108" spans="1:19" x14ac:dyDescent="0.25">
      <c r="A2108"/>
      <c r="B2108"/>
      <c r="C2108"/>
      <c r="D2108"/>
      <c r="E2108"/>
      <c r="F2108"/>
      <c r="G2108"/>
      <c r="H2108"/>
      <c r="I2108"/>
      <c r="J2108"/>
      <c r="K2108"/>
      <c r="L2108"/>
      <c r="M2108"/>
      <c r="N2108"/>
      <c r="O2108"/>
      <c r="P2108"/>
      <c r="Q2108"/>
      <c r="R2108"/>
      <c r="S2108"/>
    </row>
    <row r="2109" spans="1:19" x14ac:dyDescent="0.25">
      <c r="A2109"/>
      <c r="B2109"/>
      <c r="C2109"/>
      <c r="D2109"/>
      <c r="E2109"/>
      <c r="F2109"/>
      <c r="G2109"/>
      <c r="H2109"/>
      <c r="I2109"/>
      <c r="J2109"/>
      <c r="K2109"/>
      <c r="L2109"/>
      <c r="M2109"/>
      <c r="N2109"/>
      <c r="O2109"/>
      <c r="P2109"/>
      <c r="Q2109"/>
      <c r="R2109"/>
      <c r="S2109"/>
    </row>
    <row r="2110" spans="1:19" x14ac:dyDescent="0.25">
      <c r="A2110"/>
      <c r="B2110"/>
      <c r="C2110"/>
      <c r="D2110"/>
      <c r="E2110"/>
      <c r="F2110"/>
      <c r="G2110"/>
      <c r="H2110"/>
      <c r="I2110"/>
      <c r="J2110"/>
      <c r="K2110"/>
      <c r="L2110"/>
      <c r="M2110"/>
      <c r="N2110"/>
      <c r="O2110"/>
      <c r="P2110"/>
      <c r="Q2110"/>
      <c r="R2110"/>
      <c r="S2110"/>
    </row>
    <row r="2111" spans="1:19" x14ac:dyDescent="0.25">
      <c r="A2111"/>
      <c r="B2111"/>
      <c r="C2111"/>
      <c r="D2111"/>
      <c r="E2111"/>
      <c r="F2111"/>
      <c r="G2111"/>
      <c r="H2111"/>
      <c r="I2111"/>
      <c r="J2111"/>
      <c r="K2111"/>
      <c r="L2111"/>
      <c r="M2111"/>
      <c r="N2111"/>
      <c r="O2111"/>
      <c r="P2111"/>
      <c r="Q2111"/>
      <c r="R2111"/>
      <c r="S2111"/>
    </row>
    <row r="2112" spans="1:19" x14ac:dyDescent="0.25">
      <c r="A2112"/>
      <c r="B2112"/>
      <c r="C2112"/>
      <c r="D2112"/>
      <c r="E2112"/>
      <c r="F2112"/>
      <c r="G2112"/>
      <c r="H2112"/>
      <c r="I2112"/>
      <c r="J2112"/>
      <c r="K2112"/>
      <c r="L2112"/>
      <c r="M2112"/>
      <c r="N2112"/>
      <c r="O2112"/>
      <c r="P2112"/>
      <c r="Q2112"/>
      <c r="R2112"/>
      <c r="S2112"/>
    </row>
    <row r="2113" spans="1:19" x14ac:dyDescent="0.25">
      <c r="A2113"/>
      <c r="B2113"/>
      <c r="C2113"/>
      <c r="D2113"/>
      <c r="E2113"/>
      <c r="F2113"/>
      <c r="G2113"/>
      <c r="H2113"/>
      <c r="I2113"/>
      <c r="J2113"/>
      <c r="K2113"/>
      <c r="L2113"/>
      <c r="M2113"/>
      <c r="N2113"/>
      <c r="O2113"/>
      <c r="P2113"/>
      <c r="Q2113"/>
      <c r="R2113"/>
      <c r="S2113"/>
    </row>
    <row r="2114" spans="1:19" x14ac:dyDescent="0.25">
      <c r="A2114"/>
      <c r="B2114"/>
      <c r="C2114"/>
      <c r="D2114"/>
      <c r="E2114"/>
      <c r="F2114"/>
      <c r="G2114"/>
      <c r="H2114"/>
      <c r="I2114"/>
      <c r="J2114"/>
      <c r="K2114"/>
      <c r="L2114"/>
      <c r="M2114"/>
      <c r="N2114"/>
      <c r="O2114"/>
      <c r="P2114"/>
      <c r="Q2114"/>
      <c r="R2114"/>
      <c r="S2114"/>
    </row>
    <row r="2115" spans="1:19" x14ac:dyDescent="0.25">
      <c r="A2115"/>
      <c r="B2115"/>
      <c r="C2115"/>
      <c r="D2115"/>
      <c r="E2115"/>
      <c r="F2115"/>
      <c r="G2115"/>
      <c r="H2115"/>
      <c r="I2115"/>
      <c r="J2115"/>
      <c r="K2115"/>
      <c r="L2115"/>
      <c r="M2115"/>
      <c r="N2115"/>
      <c r="O2115"/>
      <c r="P2115"/>
      <c r="Q2115"/>
      <c r="R2115"/>
      <c r="S2115"/>
    </row>
    <row r="2116" spans="1:19" x14ac:dyDescent="0.25">
      <c r="A2116"/>
      <c r="B2116"/>
      <c r="C2116"/>
      <c r="D2116"/>
      <c r="E2116"/>
      <c r="F2116"/>
      <c r="G2116"/>
      <c r="H2116"/>
      <c r="I2116"/>
      <c r="J2116"/>
      <c r="K2116"/>
      <c r="L2116"/>
      <c r="M2116"/>
      <c r="N2116"/>
      <c r="O2116"/>
      <c r="P2116"/>
      <c r="Q2116"/>
      <c r="R2116"/>
      <c r="S2116"/>
    </row>
    <row r="2117" spans="1:19" x14ac:dyDescent="0.25">
      <c r="A2117"/>
      <c r="B2117"/>
      <c r="C2117"/>
      <c r="D2117"/>
      <c r="E2117"/>
      <c r="F2117"/>
      <c r="G2117"/>
      <c r="H2117"/>
      <c r="I2117"/>
      <c r="J2117"/>
      <c r="K2117"/>
      <c r="L2117"/>
      <c r="M2117"/>
      <c r="N2117"/>
      <c r="O2117"/>
      <c r="P2117"/>
      <c r="Q2117"/>
      <c r="R2117"/>
      <c r="S2117"/>
    </row>
    <row r="2118" spans="1:19" x14ac:dyDescent="0.25">
      <c r="A2118"/>
      <c r="B2118"/>
      <c r="C2118"/>
      <c r="D2118"/>
      <c r="E2118"/>
      <c r="F2118"/>
      <c r="G2118"/>
      <c r="H2118"/>
      <c r="I2118"/>
      <c r="J2118"/>
      <c r="K2118"/>
      <c r="L2118"/>
      <c r="M2118"/>
      <c r="N2118"/>
      <c r="O2118"/>
      <c r="P2118"/>
      <c r="Q2118"/>
      <c r="R2118"/>
      <c r="S2118"/>
    </row>
    <row r="2119" spans="1:19" x14ac:dyDescent="0.25">
      <c r="A2119"/>
      <c r="B2119"/>
      <c r="C2119"/>
      <c r="D2119"/>
      <c r="E2119"/>
      <c r="F2119"/>
      <c r="G2119"/>
      <c r="H2119"/>
      <c r="I2119"/>
      <c r="J2119"/>
      <c r="K2119"/>
      <c r="L2119"/>
      <c r="M2119"/>
      <c r="N2119"/>
      <c r="O2119"/>
      <c r="P2119"/>
      <c r="Q2119"/>
      <c r="R2119"/>
      <c r="S2119"/>
    </row>
    <row r="2120" spans="1:19" x14ac:dyDescent="0.25">
      <c r="A2120"/>
      <c r="B2120"/>
      <c r="C2120"/>
      <c r="D2120"/>
      <c r="E2120"/>
      <c r="F2120"/>
      <c r="G2120"/>
      <c r="H2120"/>
      <c r="I2120"/>
      <c r="J2120"/>
      <c r="K2120"/>
      <c r="L2120"/>
      <c r="M2120"/>
      <c r="N2120"/>
      <c r="O2120"/>
      <c r="P2120"/>
      <c r="Q2120"/>
      <c r="R2120"/>
      <c r="S2120"/>
    </row>
    <row r="2121" spans="1:19" x14ac:dyDescent="0.25">
      <c r="A2121"/>
      <c r="B2121"/>
      <c r="C2121"/>
      <c r="D2121"/>
      <c r="E2121"/>
      <c r="F2121"/>
      <c r="G2121"/>
      <c r="H2121"/>
      <c r="I2121"/>
      <c r="J2121"/>
      <c r="K2121"/>
      <c r="L2121"/>
      <c r="M2121"/>
      <c r="N2121"/>
      <c r="O2121"/>
      <c r="P2121"/>
      <c r="Q2121"/>
      <c r="R2121"/>
      <c r="S2121"/>
    </row>
    <row r="2122" spans="1:19" x14ac:dyDescent="0.25">
      <c r="A2122"/>
      <c r="B2122"/>
      <c r="C2122"/>
      <c r="D2122"/>
      <c r="E2122"/>
      <c r="F2122"/>
      <c r="G2122"/>
      <c r="H2122"/>
      <c r="I2122"/>
      <c r="J2122"/>
      <c r="K2122"/>
      <c r="L2122"/>
      <c r="M2122"/>
      <c r="N2122"/>
      <c r="O2122"/>
      <c r="P2122"/>
      <c r="Q2122"/>
      <c r="R2122"/>
      <c r="S2122"/>
    </row>
    <row r="2123" spans="1:19" x14ac:dyDescent="0.25">
      <c r="A2123"/>
      <c r="B2123"/>
      <c r="C2123"/>
      <c r="D2123"/>
      <c r="E2123"/>
      <c r="F2123"/>
      <c r="G2123"/>
      <c r="H2123"/>
      <c r="I2123"/>
      <c r="J2123"/>
      <c r="K2123"/>
      <c r="L2123"/>
      <c r="M2123"/>
      <c r="N2123"/>
      <c r="O2123"/>
      <c r="P2123"/>
      <c r="Q2123"/>
      <c r="R2123"/>
      <c r="S2123"/>
    </row>
    <row r="2124" spans="1:19" x14ac:dyDescent="0.25">
      <c r="A2124"/>
      <c r="B2124"/>
      <c r="C2124"/>
      <c r="D2124"/>
      <c r="E2124"/>
      <c r="F2124"/>
      <c r="G2124"/>
      <c r="H2124"/>
      <c r="I2124"/>
      <c r="J2124"/>
      <c r="K2124"/>
      <c r="L2124"/>
      <c r="M2124"/>
      <c r="N2124"/>
      <c r="O2124"/>
      <c r="P2124"/>
      <c r="Q2124"/>
      <c r="R2124"/>
      <c r="S2124"/>
    </row>
    <row r="2125" spans="1:19" x14ac:dyDescent="0.25">
      <c r="A2125"/>
      <c r="B2125"/>
      <c r="C2125"/>
      <c r="D2125"/>
      <c r="E2125"/>
      <c r="F2125"/>
      <c r="G2125"/>
      <c r="H2125"/>
      <c r="I2125"/>
      <c r="J2125"/>
      <c r="K2125"/>
      <c r="L2125"/>
      <c r="M2125"/>
      <c r="N2125"/>
      <c r="O2125"/>
      <c r="P2125"/>
      <c r="Q2125"/>
      <c r="R2125"/>
      <c r="S2125"/>
    </row>
    <row r="2126" spans="1:19" x14ac:dyDescent="0.25">
      <c r="A2126"/>
      <c r="B2126"/>
      <c r="C2126"/>
      <c r="D2126"/>
      <c r="E2126"/>
      <c r="F2126"/>
      <c r="G2126"/>
      <c r="H2126"/>
      <c r="I2126"/>
      <c r="J2126"/>
      <c r="K2126"/>
      <c r="L2126"/>
      <c r="M2126"/>
      <c r="N2126"/>
      <c r="O2126"/>
      <c r="P2126"/>
      <c r="Q2126"/>
      <c r="R2126"/>
      <c r="S2126"/>
    </row>
    <row r="2127" spans="1:19" x14ac:dyDescent="0.25">
      <c r="A2127"/>
      <c r="B2127"/>
      <c r="C2127"/>
      <c r="D2127"/>
      <c r="E2127"/>
      <c r="F2127"/>
      <c r="G2127"/>
      <c r="H2127"/>
      <c r="I2127"/>
      <c r="J2127"/>
      <c r="K2127"/>
      <c r="L2127"/>
      <c r="M2127"/>
      <c r="N2127"/>
      <c r="O2127"/>
      <c r="P2127"/>
      <c r="Q2127"/>
      <c r="R2127"/>
      <c r="S2127"/>
    </row>
    <row r="2128" spans="1:19" x14ac:dyDescent="0.25">
      <c r="A2128"/>
      <c r="B2128"/>
      <c r="C2128"/>
      <c r="D2128"/>
      <c r="E2128"/>
      <c r="F2128"/>
      <c r="G2128"/>
      <c r="H2128"/>
      <c r="I2128"/>
      <c r="J2128"/>
      <c r="K2128"/>
      <c r="L2128"/>
      <c r="M2128"/>
      <c r="N2128"/>
      <c r="O2128"/>
      <c r="P2128"/>
      <c r="Q2128"/>
      <c r="R2128"/>
      <c r="S2128"/>
    </row>
    <row r="2129" spans="1:19" x14ac:dyDescent="0.25">
      <c r="A2129"/>
      <c r="B2129"/>
      <c r="C2129"/>
      <c r="D2129"/>
      <c r="E2129"/>
      <c r="F2129"/>
      <c r="G2129"/>
      <c r="H2129"/>
      <c r="I2129"/>
      <c r="J2129"/>
      <c r="K2129"/>
      <c r="L2129"/>
      <c r="M2129"/>
      <c r="N2129"/>
      <c r="O2129"/>
      <c r="P2129"/>
      <c r="Q2129"/>
      <c r="R2129"/>
      <c r="S2129"/>
    </row>
    <row r="2130" spans="1:19" x14ac:dyDescent="0.25">
      <c r="A2130"/>
      <c r="B2130"/>
      <c r="C2130"/>
      <c r="D2130"/>
      <c r="E2130"/>
      <c r="F2130"/>
      <c r="G2130"/>
      <c r="H2130"/>
      <c r="I2130"/>
      <c r="J2130"/>
      <c r="K2130"/>
      <c r="L2130"/>
      <c r="M2130"/>
      <c r="N2130"/>
      <c r="O2130"/>
      <c r="P2130"/>
      <c r="Q2130"/>
      <c r="R2130"/>
      <c r="S2130"/>
    </row>
    <row r="2131" spans="1:19" x14ac:dyDescent="0.25">
      <c r="A2131"/>
      <c r="B2131"/>
      <c r="C2131"/>
      <c r="D2131"/>
      <c r="E2131"/>
      <c r="F2131"/>
      <c r="G2131"/>
      <c r="H2131"/>
      <c r="I2131"/>
      <c r="J2131"/>
      <c r="K2131"/>
      <c r="L2131"/>
      <c r="M2131"/>
      <c r="N2131"/>
      <c r="O2131"/>
      <c r="P2131"/>
      <c r="Q2131"/>
      <c r="R2131"/>
      <c r="S2131"/>
    </row>
    <row r="2132" spans="1:19" x14ac:dyDescent="0.25">
      <c r="A2132"/>
      <c r="B2132"/>
      <c r="C2132"/>
      <c r="D2132"/>
      <c r="E2132"/>
      <c r="F2132"/>
      <c r="G2132"/>
      <c r="H2132"/>
      <c r="I2132"/>
      <c r="J2132"/>
      <c r="K2132"/>
      <c r="L2132"/>
      <c r="M2132"/>
      <c r="N2132"/>
      <c r="O2132"/>
      <c r="P2132"/>
      <c r="Q2132"/>
      <c r="R2132"/>
      <c r="S2132"/>
    </row>
    <row r="2133" spans="1:19" x14ac:dyDescent="0.25">
      <c r="A2133"/>
      <c r="B2133"/>
      <c r="C2133"/>
      <c r="D2133"/>
      <c r="E2133"/>
      <c r="F2133"/>
      <c r="G2133"/>
      <c r="H2133"/>
      <c r="I2133"/>
      <c r="J2133"/>
      <c r="K2133"/>
      <c r="L2133"/>
      <c r="M2133"/>
      <c r="N2133"/>
      <c r="O2133"/>
      <c r="P2133"/>
      <c r="Q2133"/>
      <c r="R2133"/>
      <c r="S2133"/>
    </row>
    <row r="2134" spans="1:19" x14ac:dyDescent="0.25">
      <c r="A2134"/>
      <c r="B2134"/>
      <c r="C2134"/>
      <c r="D2134"/>
      <c r="E2134"/>
      <c r="F2134"/>
      <c r="G2134"/>
      <c r="H2134"/>
      <c r="I2134"/>
      <c r="J2134"/>
      <c r="K2134"/>
      <c r="L2134"/>
      <c r="M2134"/>
      <c r="N2134"/>
      <c r="O2134"/>
      <c r="P2134"/>
      <c r="Q2134"/>
      <c r="R2134"/>
      <c r="S2134"/>
    </row>
    <row r="2135" spans="1:19" x14ac:dyDescent="0.25">
      <c r="A2135"/>
      <c r="B2135"/>
      <c r="C2135"/>
      <c r="D2135"/>
      <c r="E2135"/>
      <c r="F2135"/>
      <c r="G2135"/>
      <c r="H2135"/>
      <c r="I2135"/>
      <c r="J2135"/>
      <c r="K2135"/>
      <c r="L2135"/>
      <c r="M2135"/>
      <c r="N2135"/>
      <c r="O2135"/>
      <c r="P2135"/>
      <c r="Q2135"/>
      <c r="R2135"/>
      <c r="S2135"/>
    </row>
    <row r="2136" spans="1:19" x14ac:dyDescent="0.25">
      <c r="A2136"/>
      <c r="B2136"/>
      <c r="C2136"/>
      <c r="D2136"/>
      <c r="E2136"/>
      <c r="F2136"/>
      <c r="G2136"/>
      <c r="H2136"/>
      <c r="I2136"/>
      <c r="J2136"/>
      <c r="K2136"/>
      <c r="L2136"/>
      <c r="M2136"/>
      <c r="N2136"/>
      <c r="O2136"/>
      <c r="P2136"/>
      <c r="Q2136"/>
      <c r="R2136"/>
      <c r="S2136"/>
    </row>
    <row r="2137" spans="1:19" x14ac:dyDescent="0.25">
      <c r="A2137"/>
      <c r="B2137"/>
      <c r="C2137"/>
      <c r="D2137"/>
      <c r="E2137"/>
      <c r="F2137"/>
      <c r="G2137"/>
      <c r="H2137"/>
      <c r="I2137"/>
      <c r="J2137"/>
      <c r="K2137"/>
      <c r="L2137"/>
      <c r="M2137"/>
      <c r="N2137"/>
      <c r="O2137"/>
      <c r="P2137"/>
      <c r="Q2137"/>
      <c r="R2137"/>
      <c r="S2137"/>
    </row>
    <row r="2138" spans="1:19" x14ac:dyDescent="0.25">
      <c r="A2138"/>
      <c r="B2138"/>
      <c r="C2138"/>
      <c r="D2138"/>
      <c r="E2138"/>
      <c r="F2138"/>
      <c r="G2138"/>
      <c r="H2138"/>
      <c r="I2138"/>
      <c r="J2138"/>
      <c r="K2138"/>
      <c r="L2138"/>
      <c r="M2138"/>
      <c r="N2138"/>
      <c r="O2138"/>
      <c r="P2138"/>
      <c r="Q2138"/>
      <c r="R2138"/>
      <c r="S2138"/>
    </row>
    <row r="2139" spans="1:19" x14ac:dyDescent="0.25">
      <c r="A2139"/>
      <c r="B2139"/>
      <c r="C2139"/>
      <c r="D2139"/>
      <c r="E2139"/>
      <c r="F2139"/>
      <c r="G2139"/>
      <c r="H2139"/>
      <c r="I2139"/>
      <c r="J2139"/>
      <c r="K2139"/>
      <c r="L2139"/>
      <c r="M2139"/>
      <c r="N2139"/>
      <c r="O2139"/>
      <c r="P2139"/>
      <c r="Q2139"/>
      <c r="R2139"/>
      <c r="S2139"/>
    </row>
    <row r="2140" spans="1:19" x14ac:dyDescent="0.25">
      <c r="A2140"/>
      <c r="B2140"/>
      <c r="C2140"/>
      <c r="D2140"/>
      <c r="E2140"/>
      <c r="F2140"/>
      <c r="G2140"/>
      <c r="H2140"/>
      <c r="I2140"/>
      <c r="J2140"/>
      <c r="K2140"/>
      <c r="L2140"/>
      <c r="M2140"/>
      <c r="N2140"/>
      <c r="O2140"/>
      <c r="P2140"/>
      <c r="Q2140"/>
      <c r="R2140"/>
      <c r="S2140"/>
    </row>
    <row r="2141" spans="1:19" x14ac:dyDescent="0.25">
      <c r="A2141"/>
      <c r="B2141"/>
      <c r="C2141"/>
      <c r="D2141"/>
      <c r="E2141"/>
      <c r="F2141"/>
      <c r="G2141"/>
      <c r="H2141"/>
      <c r="I2141"/>
      <c r="J2141"/>
      <c r="K2141"/>
      <c r="L2141"/>
      <c r="M2141"/>
      <c r="N2141"/>
      <c r="O2141"/>
      <c r="P2141"/>
      <c r="Q2141"/>
      <c r="R2141"/>
      <c r="S2141"/>
    </row>
    <row r="2142" spans="1:19" x14ac:dyDescent="0.25">
      <c r="A2142"/>
      <c r="B2142"/>
      <c r="C2142"/>
      <c r="D2142"/>
      <c r="E2142"/>
      <c r="F2142"/>
      <c r="G2142"/>
      <c r="H2142"/>
      <c r="I2142"/>
      <c r="J2142"/>
      <c r="K2142"/>
      <c r="L2142"/>
      <c r="M2142"/>
      <c r="N2142"/>
      <c r="O2142"/>
      <c r="P2142"/>
      <c r="Q2142"/>
      <c r="R2142"/>
      <c r="S2142"/>
    </row>
    <row r="2143" spans="1:19" x14ac:dyDescent="0.25">
      <c r="A2143"/>
      <c r="B2143"/>
      <c r="C2143"/>
      <c r="D2143"/>
      <c r="E2143"/>
      <c r="F2143"/>
      <c r="G2143"/>
      <c r="H2143"/>
      <c r="I2143"/>
      <c r="J2143"/>
      <c r="K2143"/>
      <c r="L2143"/>
      <c r="M2143"/>
      <c r="N2143"/>
      <c r="O2143"/>
      <c r="P2143"/>
      <c r="Q2143"/>
      <c r="R2143"/>
      <c r="S2143"/>
    </row>
    <row r="2144" spans="1:19" x14ac:dyDescent="0.25">
      <c r="A2144"/>
      <c r="B2144"/>
      <c r="C2144"/>
      <c r="D2144"/>
      <c r="E2144"/>
      <c r="F2144"/>
      <c r="G2144"/>
      <c r="H2144"/>
      <c r="I2144"/>
      <c r="J2144"/>
      <c r="K2144"/>
      <c r="L2144"/>
      <c r="M2144"/>
      <c r="N2144"/>
      <c r="O2144"/>
      <c r="P2144"/>
      <c r="Q2144"/>
      <c r="R2144"/>
      <c r="S2144"/>
    </row>
    <row r="2145" spans="1:19" x14ac:dyDescent="0.25">
      <c r="A2145"/>
      <c r="B2145"/>
      <c r="C2145"/>
      <c r="D2145"/>
      <c r="E2145"/>
      <c r="F2145"/>
      <c r="G2145"/>
      <c r="H2145"/>
      <c r="I2145"/>
      <c r="J2145"/>
      <c r="K2145"/>
      <c r="L2145"/>
      <c r="M2145"/>
      <c r="N2145"/>
      <c r="O2145"/>
      <c r="P2145"/>
      <c r="Q2145"/>
      <c r="R2145"/>
      <c r="S2145"/>
    </row>
    <row r="2146" spans="1:19" x14ac:dyDescent="0.25">
      <c r="A2146"/>
      <c r="B2146"/>
      <c r="C2146"/>
      <c r="D2146"/>
      <c r="E2146"/>
      <c r="F2146"/>
      <c r="G2146"/>
      <c r="H2146"/>
      <c r="I2146"/>
      <c r="J2146"/>
      <c r="K2146"/>
      <c r="L2146"/>
      <c r="M2146"/>
      <c r="N2146"/>
      <c r="O2146"/>
      <c r="P2146"/>
      <c r="Q2146"/>
      <c r="R2146"/>
      <c r="S2146"/>
    </row>
    <row r="2147" spans="1:19" x14ac:dyDescent="0.25">
      <c r="A2147"/>
      <c r="B2147"/>
      <c r="C2147"/>
      <c r="D2147"/>
      <c r="E2147"/>
      <c r="F2147"/>
      <c r="G2147"/>
      <c r="H2147"/>
      <c r="I2147"/>
      <c r="J2147"/>
      <c r="K2147"/>
      <c r="L2147"/>
      <c r="M2147"/>
      <c r="N2147"/>
      <c r="O2147"/>
      <c r="P2147"/>
      <c r="Q2147"/>
      <c r="R2147"/>
      <c r="S2147"/>
    </row>
    <row r="2148" spans="1:19" x14ac:dyDescent="0.25">
      <c r="A2148"/>
      <c r="B2148"/>
      <c r="C2148"/>
      <c r="D2148"/>
      <c r="E2148"/>
      <c r="F2148"/>
      <c r="G2148"/>
      <c r="H2148"/>
      <c r="I2148"/>
      <c r="J2148"/>
      <c r="K2148"/>
      <c r="L2148"/>
      <c r="M2148"/>
      <c r="N2148"/>
      <c r="O2148"/>
      <c r="P2148"/>
      <c r="Q2148"/>
      <c r="R2148"/>
      <c r="S2148"/>
    </row>
    <row r="2149" spans="1:19" x14ac:dyDescent="0.25">
      <c r="A2149"/>
      <c r="B2149"/>
      <c r="C2149"/>
      <c r="D2149"/>
      <c r="E2149"/>
      <c r="F2149"/>
      <c r="G2149"/>
      <c r="H2149"/>
      <c r="I2149"/>
      <c r="J2149"/>
      <c r="K2149"/>
      <c r="L2149"/>
      <c r="M2149"/>
      <c r="N2149"/>
      <c r="O2149"/>
      <c r="P2149"/>
      <c r="Q2149"/>
      <c r="R2149"/>
      <c r="S2149"/>
    </row>
    <row r="2150" spans="1:19" x14ac:dyDescent="0.25">
      <c r="A2150"/>
      <c r="B2150"/>
      <c r="C2150"/>
      <c r="D2150"/>
      <c r="E2150"/>
      <c r="F2150"/>
      <c r="G2150"/>
      <c r="H2150"/>
      <c r="I2150"/>
      <c r="J2150"/>
      <c r="K2150"/>
      <c r="L2150"/>
      <c r="M2150"/>
      <c r="N2150"/>
      <c r="O2150"/>
      <c r="P2150"/>
      <c r="Q2150"/>
      <c r="R2150"/>
      <c r="S2150"/>
    </row>
    <row r="2151" spans="1:19" x14ac:dyDescent="0.25">
      <c r="A2151"/>
      <c r="B2151"/>
      <c r="C2151"/>
      <c r="D2151"/>
      <c r="E2151"/>
      <c r="F2151"/>
      <c r="G2151"/>
      <c r="H2151"/>
      <c r="I2151"/>
      <c r="J2151"/>
      <c r="K2151"/>
      <c r="L2151"/>
      <c r="M2151"/>
      <c r="N2151"/>
      <c r="O2151"/>
      <c r="P2151"/>
      <c r="Q2151"/>
      <c r="R2151"/>
      <c r="S2151"/>
    </row>
    <row r="2152" spans="1:19" x14ac:dyDescent="0.25">
      <c r="A2152"/>
      <c r="B2152"/>
      <c r="C2152"/>
      <c r="D2152"/>
      <c r="E2152"/>
      <c r="F2152"/>
      <c r="G2152"/>
      <c r="H2152"/>
      <c r="I2152"/>
      <c r="J2152"/>
      <c r="K2152"/>
      <c r="L2152"/>
      <c r="M2152"/>
      <c r="N2152"/>
      <c r="O2152"/>
      <c r="P2152"/>
      <c r="Q2152"/>
      <c r="R2152"/>
      <c r="S2152"/>
    </row>
    <row r="2153" spans="1:19" x14ac:dyDescent="0.25">
      <c r="A2153"/>
      <c r="B2153"/>
      <c r="C2153"/>
      <c r="D2153"/>
      <c r="E2153"/>
      <c r="F2153"/>
      <c r="G2153"/>
      <c r="H2153"/>
      <c r="I2153"/>
      <c r="J2153"/>
      <c r="K2153"/>
      <c r="L2153"/>
      <c r="M2153"/>
      <c r="N2153"/>
      <c r="O2153"/>
      <c r="P2153"/>
      <c r="Q2153"/>
      <c r="R2153"/>
      <c r="S2153"/>
    </row>
    <row r="2154" spans="1:19" x14ac:dyDescent="0.25">
      <c r="A2154"/>
      <c r="B2154"/>
      <c r="C2154"/>
      <c r="D2154"/>
      <c r="E2154"/>
      <c r="F2154"/>
      <c r="G2154"/>
      <c r="H2154"/>
      <c r="I2154"/>
      <c r="J2154"/>
      <c r="K2154"/>
      <c r="L2154"/>
      <c r="M2154"/>
      <c r="N2154"/>
      <c r="O2154"/>
      <c r="P2154"/>
      <c r="Q2154"/>
      <c r="R2154"/>
      <c r="S2154"/>
    </row>
    <row r="2155" spans="1:19" x14ac:dyDescent="0.25">
      <c r="A2155"/>
      <c r="B2155"/>
      <c r="C2155"/>
      <c r="D2155"/>
      <c r="E2155"/>
      <c r="F2155"/>
      <c r="G2155"/>
      <c r="H2155"/>
      <c r="I2155"/>
      <c r="J2155"/>
      <c r="K2155"/>
      <c r="L2155"/>
      <c r="M2155"/>
      <c r="N2155"/>
      <c r="O2155"/>
      <c r="P2155"/>
      <c r="Q2155"/>
      <c r="R2155"/>
      <c r="S2155"/>
    </row>
    <row r="2156" spans="1:19" x14ac:dyDescent="0.25">
      <c r="A2156"/>
      <c r="B2156"/>
      <c r="C2156"/>
      <c r="D2156"/>
      <c r="E2156"/>
      <c r="F2156"/>
      <c r="G2156"/>
      <c r="H2156"/>
      <c r="I2156"/>
      <c r="J2156"/>
      <c r="K2156"/>
      <c r="L2156"/>
      <c r="M2156"/>
      <c r="N2156"/>
      <c r="O2156"/>
      <c r="P2156"/>
      <c r="Q2156"/>
      <c r="R2156"/>
      <c r="S2156"/>
    </row>
    <row r="2157" spans="1:19" x14ac:dyDescent="0.25">
      <c r="A2157"/>
      <c r="B2157"/>
      <c r="C2157"/>
      <c r="D2157"/>
      <c r="E2157"/>
      <c r="F2157"/>
      <c r="G2157"/>
      <c r="H2157"/>
      <c r="I2157"/>
      <c r="J2157"/>
      <c r="K2157"/>
      <c r="L2157"/>
      <c r="M2157"/>
      <c r="N2157"/>
      <c r="O2157"/>
      <c r="P2157"/>
      <c r="Q2157"/>
      <c r="R2157"/>
      <c r="S2157"/>
    </row>
    <row r="2158" spans="1:19" x14ac:dyDescent="0.25">
      <c r="A2158"/>
      <c r="B2158"/>
      <c r="C2158"/>
      <c r="D2158"/>
      <c r="E2158"/>
      <c r="F2158"/>
      <c r="G2158"/>
      <c r="H2158"/>
      <c r="I2158"/>
      <c r="J2158"/>
      <c r="K2158"/>
      <c r="L2158"/>
      <c r="M2158"/>
      <c r="N2158"/>
      <c r="O2158"/>
      <c r="P2158"/>
      <c r="Q2158"/>
      <c r="R2158"/>
      <c r="S2158"/>
    </row>
    <row r="2159" spans="1:19" x14ac:dyDescent="0.25">
      <c r="A2159"/>
      <c r="B2159"/>
      <c r="C2159"/>
      <c r="D2159"/>
      <c r="E2159"/>
      <c r="F2159"/>
      <c r="G2159"/>
      <c r="H2159"/>
      <c r="I2159"/>
      <c r="J2159"/>
      <c r="K2159"/>
      <c r="L2159"/>
      <c r="M2159"/>
      <c r="N2159"/>
      <c r="O2159"/>
      <c r="P2159"/>
      <c r="Q2159"/>
      <c r="R2159"/>
      <c r="S2159"/>
    </row>
    <row r="2160" spans="1:19" x14ac:dyDescent="0.25">
      <c r="A2160"/>
      <c r="B2160"/>
      <c r="C2160"/>
      <c r="D2160"/>
      <c r="E2160"/>
      <c r="F2160"/>
      <c r="G2160"/>
      <c r="H2160"/>
      <c r="I2160"/>
      <c r="J2160"/>
      <c r="K2160"/>
      <c r="L2160"/>
      <c r="M2160"/>
      <c r="N2160"/>
      <c r="O2160"/>
      <c r="P2160"/>
      <c r="Q2160"/>
      <c r="R2160"/>
      <c r="S2160"/>
    </row>
    <row r="2161" spans="1:19" x14ac:dyDescent="0.25">
      <c r="A2161"/>
      <c r="B2161"/>
      <c r="C2161"/>
      <c r="D2161"/>
      <c r="E2161"/>
      <c r="F2161"/>
      <c r="G2161"/>
      <c r="H2161"/>
      <c r="I2161"/>
      <c r="J2161"/>
      <c r="K2161"/>
      <c r="L2161"/>
      <c r="M2161"/>
      <c r="N2161"/>
      <c r="O2161"/>
      <c r="P2161"/>
      <c r="Q2161"/>
      <c r="R2161"/>
      <c r="S2161"/>
    </row>
    <row r="2162" spans="1:19" x14ac:dyDescent="0.25">
      <c r="A2162"/>
      <c r="B2162"/>
      <c r="C2162"/>
      <c r="D2162"/>
      <c r="E2162"/>
      <c r="F2162"/>
      <c r="G2162"/>
      <c r="H2162"/>
      <c r="I2162"/>
      <c r="J2162"/>
      <c r="K2162"/>
      <c r="L2162"/>
      <c r="M2162"/>
      <c r="N2162"/>
      <c r="O2162"/>
      <c r="P2162"/>
      <c r="Q2162"/>
      <c r="R2162"/>
      <c r="S2162"/>
    </row>
    <row r="2163" spans="1:19" x14ac:dyDescent="0.25">
      <c r="A2163"/>
      <c r="B2163"/>
      <c r="C2163"/>
      <c r="D2163"/>
      <c r="E2163"/>
      <c r="F2163"/>
      <c r="G2163"/>
      <c r="H2163"/>
      <c r="I2163"/>
      <c r="J2163"/>
      <c r="K2163"/>
      <c r="L2163"/>
      <c r="M2163"/>
      <c r="N2163"/>
      <c r="O2163"/>
      <c r="P2163"/>
      <c r="Q2163"/>
      <c r="R2163"/>
      <c r="S2163"/>
    </row>
    <row r="2164" spans="1:19" x14ac:dyDescent="0.25">
      <c r="A2164"/>
      <c r="B2164"/>
      <c r="C2164"/>
      <c r="D2164"/>
      <c r="E2164"/>
      <c r="F2164"/>
      <c r="G2164"/>
      <c r="H2164"/>
      <c r="I2164"/>
      <c r="J2164"/>
      <c r="K2164"/>
      <c r="L2164"/>
      <c r="M2164"/>
      <c r="N2164"/>
      <c r="O2164"/>
      <c r="P2164"/>
      <c r="Q2164"/>
      <c r="R2164"/>
      <c r="S2164"/>
    </row>
    <row r="2165" spans="1:19" x14ac:dyDescent="0.25">
      <c r="A2165"/>
      <c r="B2165"/>
      <c r="C2165"/>
      <c r="D2165"/>
      <c r="E2165"/>
      <c r="F2165"/>
      <c r="G2165"/>
      <c r="H2165"/>
      <c r="I2165"/>
      <c r="J2165"/>
      <c r="K2165"/>
      <c r="L2165"/>
      <c r="M2165"/>
      <c r="N2165"/>
      <c r="O2165"/>
      <c r="P2165"/>
      <c r="Q2165"/>
      <c r="R2165"/>
      <c r="S2165"/>
    </row>
    <row r="2166" spans="1:19" x14ac:dyDescent="0.25">
      <c r="A2166"/>
      <c r="B2166"/>
      <c r="C2166"/>
      <c r="D2166"/>
      <c r="E2166"/>
      <c r="F2166"/>
      <c r="G2166"/>
      <c r="H2166"/>
      <c r="I2166"/>
      <c r="J2166"/>
      <c r="K2166"/>
      <c r="L2166"/>
      <c r="M2166"/>
      <c r="N2166"/>
      <c r="O2166"/>
      <c r="P2166"/>
      <c r="Q2166"/>
      <c r="R2166"/>
      <c r="S2166"/>
    </row>
    <row r="2167" spans="1:19" x14ac:dyDescent="0.25">
      <c r="A2167"/>
      <c r="B2167"/>
      <c r="C2167"/>
      <c r="D2167"/>
      <c r="E2167"/>
      <c r="F2167"/>
      <c r="G2167"/>
      <c r="H2167"/>
      <c r="I2167"/>
      <c r="J2167"/>
      <c r="K2167"/>
      <c r="L2167"/>
      <c r="M2167"/>
      <c r="N2167"/>
      <c r="O2167"/>
      <c r="P2167"/>
      <c r="Q2167"/>
      <c r="R2167"/>
      <c r="S2167"/>
    </row>
    <row r="2168" spans="1:19" x14ac:dyDescent="0.25">
      <c r="A2168"/>
      <c r="B2168"/>
      <c r="C2168"/>
      <c r="D2168"/>
      <c r="E2168"/>
      <c r="F2168"/>
      <c r="G2168"/>
      <c r="H2168"/>
      <c r="I2168"/>
      <c r="J2168"/>
      <c r="K2168"/>
      <c r="L2168"/>
      <c r="M2168"/>
      <c r="N2168"/>
      <c r="O2168"/>
      <c r="P2168"/>
      <c r="Q2168"/>
      <c r="R2168"/>
      <c r="S2168"/>
    </row>
    <row r="2169" spans="1:19" x14ac:dyDescent="0.25">
      <c r="A2169"/>
      <c r="B2169"/>
      <c r="C2169"/>
      <c r="D2169"/>
      <c r="E2169"/>
      <c r="F2169"/>
      <c r="G2169"/>
      <c r="H2169"/>
      <c r="I2169"/>
      <c r="J2169"/>
      <c r="K2169"/>
      <c r="L2169"/>
      <c r="M2169"/>
      <c r="N2169"/>
      <c r="O2169"/>
      <c r="P2169"/>
      <c r="Q2169"/>
      <c r="R2169"/>
      <c r="S2169"/>
    </row>
    <row r="2170" spans="1:19" x14ac:dyDescent="0.25">
      <c r="A2170"/>
      <c r="B2170"/>
      <c r="C2170"/>
      <c r="D2170"/>
      <c r="E2170"/>
      <c r="F2170"/>
      <c r="G2170"/>
      <c r="H2170"/>
      <c r="I2170"/>
      <c r="J2170"/>
      <c r="K2170"/>
      <c r="L2170"/>
      <c r="M2170"/>
      <c r="N2170"/>
      <c r="O2170"/>
      <c r="P2170"/>
      <c r="Q2170"/>
      <c r="R2170"/>
      <c r="S2170"/>
    </row>
    <row r="2171" spans="1:19" x14ac:dyDescent="0.25">
      <c r="A2171"/>
      <c r="B2171"/>
      <c r="C2171"/>
      <c r="D2171"/>
      <c r="E2171"/>
      <c r="F2171"/>
      <c r="G2171"/>
      <c r="H2171"/>
      <c r="I2171"/>
      <c r="J2171"/>
      <c r="K2171"/>
      <c r="L2171"/>
      <c r="M2171"/>
      <c r="N2171"/>
      <c r="O2171"/>
      <c r="P2171"/>
      <c r="Q2171"/>
      <c r="R2171"/>
      <c r="S2171"/>
    </row>
    <row r="2172" spans="1:19" x14ac:dyDescent="0.25">
      <c r="A2172"/>
      <c r="B2172"/>
      <c r="C2172"/>
      <c r="D2172"/>
      <c r="E2172"/>
      <c r="F2172"/>
      <c r="G2172"/>
      <c r="H2172"/>
      <c r="I2172"/>
      <c r="J2172"/>
      <c r="K2172"/>
      <c r="L2172"/>
      <c r="M2172"/>
      <c r="N2172"/>
      <c r="O2172"/>
      <c r="P2172"/>
      <c r="Q2172"/>
      <c r="R2172"/>
      <c r="S2172"/>
    </row>
    <row r="2173" spans="1:19" x14ac:dyDescent="0.25">
      <c r="A2173"/>
      <c r="B2173"/>
      <c r="C2173"/>
      <c r="D2173"/>
      <c r="E2173"/>
      <c r="F2173"/>
      <c r="G2173"/>
      <c r="H2173"/>
      <c r="I2173"/>
      <c r="J2173"/>
      <c r="K2173"/>
      <c r="L2173"/>
      <c r="M2173"/>
      <c r="N2173"/>
      <c r="O2173"/>
      <c r="P2173"/>
      <c r="Q2173"/>
      <c r="R2173"/>
      <c r="S2173"/>
    </row>
    <row r="2174" spans="1:19" x14ac:dyDescent="0.25">
      <c r="A2174"/>
      <c r="B2174"/>
      <c r="C2174"/>
      <c r="D2174"/>
      <c r="E2174"/>
      <c r="F2174"/>
      <c r="G2174"/>
      <c r="H2174"/>
      <c r="I2174"/>
      <c r="J2174"/>
      <c r="K2174"/>
      <c r="L2174"/>
      <c r="M2174"/>
      <c r="N2174"/>
      <c r="O2174"/>
      <c r="P2174"/>
      <c r="Q2174"/>
      <c r="R2174"/>
      <c r="S2174"/>
    </row>
    <row r="2175" spans="1:19" x14ac:dyDescent="0.25">
      <c r="A2175"/>
      <c r="B2175"/>
      <c r="C2175"/>
      <c r="D2175"/>
      <c r="E2175"/>
      <c r="F2175"/>
      <c r="G2175"/>
      <c r="H2175"/>
      <c r="I2175"/>
      <c r="J2175"/>
      <c r="K2175"/>
      <c r="L2175"/>
      <c r="M2175"/>
      <c r="N2175"/>
      <c r="O2175"/>
      <c r="P2175"/>
      <c r="Q2175"/>
      <c r="R2175"/>
      <c r="S2175"/>
    </row>
    <row r="2176" spans="1:19" x14ac:dyDescent="0.25">
      <c r="A2176"/>
      <c r="B2176"/>
      <c r="C2176"/>
      <c r="D2176"/>
      <c r="E2176"/>
      <c r="F2176"/>
      <c r="G2176"/>
      <c r="H2176"/>
      <c r="I2176"/>
      <c r="J2176"/>
      <c r="K2176"/>
      <c r="L2176"/>
      <c r="M2176"/>
      <c r="N2176"/>
      <c r="O2176"/>
      <c r="P2176"/>
      <c r="Q2176"/>
      <c r="R2176"/>
      <c r="S2176"/>
    </row>
    <row r="2177" spans="1:19" x14ac:dyDescent="0.25">
      <c r="A2177"/>
      <c r="B2177"/>
      <c r="C2177"/>
      <c r="D2177"/>
      <c r="E2177"/>
      <c r="F2177"/>
      <c r="G2177"/>
      <c r="H2177"/>
      <c r="I2177"/>
      <c r="J2177"/>
      <c r="K2177"/>
      <c r="L2177"/>
      <c r="M2177"/>
      <c r="N2177"/>
      <c r="O2177"/>
      <c r="P2177"/>
      <c r="Q2177"/>
      <c r="R2177"/>
      <c r="S2177"/>
    </row>
    <row r="2178" spans="1:19" x14ac:dyDescent="0.25">
      <c r="A2178"/>
      <c r="B2178"/>
      <c r="C2178"/>
      <c r="D2178"/>
      <c r="E2178"/>
      <c r="F2178"/>
      <c r="G2178"/>
      <c r="H2178"/>
      <c r="I2178"/>
      <c r="J2178"/>
      <c r="K2178"/>
      <c r="L2178"/>
      <c r="M2178"/>
      <c r="N2178"/>
      <c r="O2178"/>
      <c r="P2178"/>
      <c r="Q2178"/>
      <c r="R2178"/>
      <c r="S2178"/>
    </row>
    <row r="2179" spans="1:19" x14ac:dyDescent="0.25">
      <c r="A2179"/>
      <c r="B2179"/>
      <c r="C2179"/>
      <c r="D2179"/>
      <c r="E2179"/>
      <c r="F2179"/>
      <c r="G2179"/>
      <c r="H2179"/>
      <c r="I2179"/>
      <c r="J2179"/>
      <c r="K2179"/>
      <c r="L2179"/>
      <c r="M2179"/>
      <c r="N2179"/>
      <c r="O2179"/>
      <c r="P2179"/>
      <c r="Q2179"/>
      <c r="R2179"/>
      <c r="S2179"/>
    </row>
    <row r="2180" spans="1:19" x14ac:dyDescent="0.25">
      <c r="A2180"/>
      <c r="B2180"/>
      <c r="C2180"/>
      <c r="D2180"/>
      <c r="E2180"/>
      <c r="F2180"/>
      <c r="G2180"/>
      <c r="H2180"/>
      <c r="I2180"/>
      <c r="J2180"/>
      <c r="K2180"/>
      <c r="L2180"/>
      <c r="M2180"/>
      <c r="N2180"/>
      <c r="O2180"/>
      <c r="P2180"/>
      <c r="Q2180"/>
      <c r="R2180"/>
      <c r="S2180"/>
    </row>
    <row r="2181" spans="1:19" x14ac:dyDescent="0.25">
      <c r="A2181"/>
      <c r="B2181"/>
      <c r="C2181"/>
      <c r="D2181"/>
      <c r="E2181"/>
      <c r="F2181"/>
      <c r="G2181"/>
      <c r="H2181"/>
      <c r="I2181"/>
      <c r="J2181"/>
      <c r="K2181"/>
      <c r="L2181"/>
      <c r="M2181"/>
      <c r="N2181"/>
      <c r="O2181"/>
      <c r="P2181"/>
      <c r="Q2181"/>
      <c r="R2181"/>
      <c r="S2181"/>
    </row>
    <row r="2182" spans="1:19" x14ac:dyDescent="0.25">
      <c r="A2182"/>
      <c r="B2182"/>
      <c r="C2182"/>
      <c r="D2182"/>
      <c r="E2182"/>
      <c r="F2182"/>
      <c r="G2182"/>
      <c r="H2182"/>
      <c r="I2182"/>
      <c r="J2182"/>
      <c r="K2182"/>
      <c r="L2182"/>
      <c r="M2182"/>
      <c r="N2182"/>
      <c r="O2182"/>
      <c r="P2182"/>
      <c r="Q2182"/>
      <c r="R2182"/>
      <c r="S2182"/>
    </row>
    <row r="2183" spans="1:19" x14ac:dyDescent="0.25">
      <c r="A2183"/>
      <c r="B2183"/>
      <c r="C2183"/>
      <c r="D2183"/>
      <c r="E2183"/>
      <c r="F2183"/>
      <c r="G2183"/>
      <c r="H2183"/>
      <c r="I2183"/>
      <c r="J2183"/>
      <c r="K2183"/>
      <c r="L2183"/>
      <c r="M2183"/>
      <c r="N2183"/>
      <c r="O2183"/>
      <c r="P2183"/>
      <c r="Q2183"/>
      <c r="R2183"/>
      <c r="S2183"/>
    </row>
    <row r="2184" spans="1:19" x14ac:dyDescent="0.25">
      <c r="A2184"/>
      <c r="B2184"/>
      <c r="C2184"/>
      <c r="D2184"/>
      <c r="E2184"/>
      <c r="F2184"/>
      <c r="G2184"/>
      <c r="H2184"/>
      <c r="I2184"/>
      <c r="J2184"/>
      <c r="K2184"/>
      <c r="L2184"/>
      <c r="M2184"/>
      <c r="N2184"/>
      <c r="O2184"/>
      <c r="P2184"/>
      <c r="Q2184"/>
      <c r="R2184"/>
      <c r="S2184"/>
    </row>
    <row r="2185" spans="1:19" x14ac:dyDescent="0.25">
      <c r="A2185"/>
      <c r="B2185"/>
      <c r="C2185"/>
      <c r="D2185"/>
      <c r="E2185"/>
      <c r="F2185"/>
      <c r="G2185"/>
      <c r="H2185"/>
      <c r="I2185"/>
      <c r="J2185"/>
      <c r="K2185"/>
      <c r="L2185"/>
      <c r="M2185"/>
      <c r="N2185"/>
      <c r="O2185"/>
      <c r="P2185"/>
      <c r="Q2185"/>
      <c r="R2185"/>
      <c r="S2185"/>
    </row>
    <row r="2186" spans="1:19" x14ac:dyDescent="0.25">
      <c r="A2186"/>
      <c r="B2186"/>
      <c r="C2186"/>
      <c r="D2186"/>
      <c r="E2186"/>
      <c r="F2186"/>
      <c r="G2186"/>
      <c r="H2186"/>
      <c r="I2186"/>
      <c r="J2186"/>
      <c r="K2186"/>
      <c r="L2186"/>
      <c r="M2186"/>
      <c r="N2186"/>
      <c r="O2186"/>
      <c r="P2186"/>
      <c r="Q2186"/>
      <c r="R2186"/>
      <c r="S2186"/>
    </row>
    <row r="2187" spans="1:19" x14ac:dyDescent="0.25">
      <c r="A2187"/>
      <c r="B2187"/>
      <c r="C2187"/>
      <c r="D2187"/>
      <c r="E2187"/>
      <c r="F2187"/>
      <c r="G2187"/>
      <c r="H2187"/>
      <c r="I2187"/>
      <c r="J2187"/>
      <c r="K2187"/>
      <c r="L2187"/>
      <c r="M2187"/>
      <c r="N2187"/>
      <c r="O2187"/>
      <c r="P2187"/>
      <c r="Q2187"/>
      <c r="R2187"/>
      <c r="S2187"/>
    </row>
    <row r="2188" spans="1:19" x14ac:dyDescent="0.25">
      <c r="A2188"/>
      <c r="B2188"/>
      <c r="C2188"/>
      <c r="D2188"/>
      <c r="E2188"/>
      <c r="F2188"/>
      <c r="G2188"/>
      <c r="H2188"/>
      <c r="I2188"/>
      <c r="J2188"/>
      <c r="K2188"/>
      <c r="L2188"/>
      <c r="M2188"/>
      <c r="N2188"/>
      <c r="O2188"/>
      <c r="P2188"/>
      <c r="Q2188"/>
      <c r="R2188"/>
      <c r="S2188"/>
    </row>
    <row r="2189" spans="1:19" x14ac:dyDescent="0.25">
      <c r="A2189"/>
      <c r="B2189"/>
      <c r="C2189"/>
      <c r="D2189"/>
      <c r="E2189"/>
      <c r="F2189"/>
      <c r="G2189"/>
      <c r="H2189"/>
      <c r="I2189"/>
      <c r="J2189"/>
      <c r="K2189"/>
      <c r="L2189"/>
      <c r="M2189"/>
      <c r="N2189"/>
      <c r="O2189"/>
      <c r="P2189"/>
      <c r="Q2189"/>
      <c r="R2189"/>
      <c r="S2189"/>
    </row>
    <row r="2190" spans="1:19" x14ac:dyDescent="0.25">
      <c r="A2190"/>
      <c r="B2190"/>
      <c r="C2190"/>
      <c r="D2190"/>
      <c r="E2190"/>
      <c r="F2190"/>
      <c r="G2190"/>
      <c r="H2190"/>
      <c r="I2190"/>
      <c r="J2190"/>
      <c r="K2190"/>
      <c r="L2190"/>
      <c r="M2190"/>
      <c r="N2190"/>
      <c r="O2190"/>
      <c r="P2190"/>
      <c r="Q2190"/>
      <c r="R2190"/>
      <c r="S2190"/>
    </row>
    <row r="2191" spans="1:19" x14ac:dyDescent="0.25">
      <c r="A2191"/>
      <c r="B2191"/>
      <c r="C2191"/>
      <c r="D2191"/>
      <c r="E2191"/>
      <c r="F2191"/>
      <c r="G2191"/>
      <c r="H2191"/>
      <c r="I2191"/>
      <c r="J2191"/>
      <c r="K2191"/>
      <c r="L2191"/>
      <c r="M2191"/>
      <c r="N2191"/>
      <c r="O2191"/>
      <c r="P2191"/>
      <c r="Q2191"/>
      <c r="R2191"/>
      <c r="S2191"/>
    </row>
    <row r="2192" spans="1:19" x14ac:dyDescent="0.25">
      <c r="A2192"/>
      <c r="B2192"/>
      <c r="C2192"/>
      <c r="D2192"/>
      <c r="E2192"/>
      <c r="F2192"/>
      <c r="G2192"/>
      <c r="H2192"/>
      <c r="I2192"/>
      <c r="J2192"/>
      <c r="K2192"/>
      <c r="L2192"/>
      <c r="M2192"/>
      <c r="N2192"/>
      <c r="O2192"/>
      <c r="P2192"/>
      <c r="Q2192"/>
      <c r="R2192"/>
      <c r="S2192"/>
    </row>
    <row r="2193" spans="1:19" x14ac:dyDescent="0.25">
      <c r="A2193"/>
      <c r="B2193"/>
      <c r="C2193"/>
      <c r="D2193"/>
      <c r="E2193"/>
      <c r="F2193"/>
      <c r="G2193"/>
      <c r="H2193"/>
      <c r="I2193"/>
      <c r="J2193"/>
      <c r="K2193"/>
      <c r="L2193"/>
      <c r="M2193"/>
      <c r="N2193"/>
      <c r="O2193"/>
      <c r="P2193"/>
      <c r="Q2193"/>
      <c r="R2193"/>
      <c r="S2193"/>
    </row>
    <row r="2194" spans="1:19" x14ac:dyDescent="0.25">
      <c r="A2194"/>
      <c r="B2194"/>
      <c r="C2194"/>
      <c r="D2194"/>
      <c r="E2194"/>
      <c r="F2194"/>
      <c r="G2194"/>
      <c r="H2194"/>
      <c r="I2194"/>
      <c r="J2194"/>
      <c r="K2194"/>
      <c r="L2194"/>
      <c r="M2194"/>
      <c r="N2194"/>
      <c r="O2194"/>
      <c r="P2194"/>
      <c r="Q2194"/>
      <c r="R2194"/>
      <c r="S2194"/>
    </row>
    <row r="2195" spans="1:19" x14ac:dyDescent="0.25">
      <c r="A2195"/>
      <c r="B2195"/>
      <c r="C2195"/>
      <c r="D2195"/>
      <c r="E2195"/>
      <c r="F2195"/>
      <c r="G2195"/>
      <c r="H2195"/>
      <c r="I2195"/>
      <c r="J2195"/>
      <c r="K2195"/>
      <c r="L2195"/>
      <c r="M2195"/>
      <c r="N2195"/>
      <c r="O2195"/>
      <c r="P2195"/>
      <c r="Q2195"/>
      <c r="R2195"/>
      <c r="S2195"/>
    </row>
    <row r="2196" spans="1:19" x14ac:dyDescent="0.25">
      <c r="A2196"/>
      <c r="B2196"/>
      <c r="C2196"/>
      <c r="D2196"/>
      <c r="E2196"/>
      <c r="F2196"/>
      <c r="G2196"/>
      <c r="H2196"/>
      <c r="I2196"/>
      <c r="J2196"/>
      <c r="K2196"/>
      <c r="L2196"/>
      <c r="M2196"/>
      <c r="N2196"/>
      <c r="O2196"/>
      <c r="P2196"/>
      <c r="Q2196"/>
      <c r="R2196"/>
      <c r="S2196"/>
    </row>
    <row r="2197" spans="1:19" x14ac:dyDescent="0.25">
      <c r="A2197"/>
      <c r="B2197"/>
      <c r="C2197"/>
      <c r="D2197"/>
      <c r="E2197"/>
      <c r="F2197"/>
      <c r="G2197"/>
      <c r="H2197"/>
      <c r="I2197"/>
      <c r="J2197"/>
      <c r="K2197"/>
      <c r="L2197"/>
      <c r="M2197"/>
      <c r="N2197"/>
      <c r="O2197"/>
      <c r="P2197"/>
      <c r="Q2197"/>
      <c r="R2197"/>
      <c r="S2197"/>
    </row>
    <row r="2198" spans="1:19" x14ac:dyDescent="0.25">
      <c r="A2198"/>
      <c r="B2198"/>
      <c r="C2198"/>
      <c r="D2198"/>
      <c r="E2198"/>
      <c r="F2198"/>
      <c r="G2198"/>
      <c r="H2198"/>
      <c r="I2198"/>
      <c r="J2198"/>
      <c r="K2198"/>
      <c r="L2198"/>
      <c r="M2198"/>
      <c r="N2198"/>
      <c r="O2198"/>
      <c r="P2198"/>
      <c r="Q2198"/>
      <c r="R2198"/>
      <c r="S2198"/>
    </row>
    <row r="2199" spans="1:19" x14ac:dyDescent="0.25">
      <c r="A2199"/>
      <c r="B2199"/>
      <c r="C2199"/>
      <c r="D2199"/>
      <c r="E2199"/>
      <c r="F2199"/>
      <c r="G2199"/>
      <c r="H2199"/>
      <c r="I2199"/>
      <c r="J2199"/>
      <c r="K2199"/>
      <c r="L2199"/>
      <c r="M2199"/>
      <c r="N2199"/>
      <c r="O2199"/>
      <c r="P2199"/>
      <c r="Q2199"/>
      <c r="R2199"/>
      <c r="S2199"/>
    </row>
    <row r="2200" spans="1:19" x14ac:dyDescent="0.25">
      <c r="A2200"/>
      <c r="B2200"/>
      <c r="C2200"/>
      <c r="D2200"/>
      <c r="E2200"/>
      <c r="F2200"/>
      <c r="G2200"/>
      <c r="H2200"/>
      <c r="I2200"/>
      <c r="J2200"/>
      <c r="K2200"/>
      <c r="L2200"/>
      <c r="M2200"/>
      <c r="N2200"/>
      <c r="O2200"/>
      <c r="P2200"/>
      <c r="Q2200"/>
      <c r="R2200"/>
      <c r="S2200"/>
    </row>
    <row r="2201" spans="1:19" x14ac:dyDescent="0.25">
      <c r="A2201"/>
      <c r="B2201"/>
      <c r="C2201"/>
      <c r="D2201"/>
      <c r="E2201"/>
      <c r="F2201"/>
      <c r="G2201"/>
      <c r="H2201"/>
      <c r="I2201"/>
      <c r="J2201"/>
      <c r="K2201"/>
      <c r="L2201"/>
      <c r="M2201"/>
      <c r="N2201"/>
      <c r="O2201"/>
      <c r="P2201"/>
      <c r="Q2201"/>
      <c r="R2201"/>
      <c r="S2201"/>
    </row>
    <row r="2202" spans="1:19" x14ac:dyDescent="0.25">
      <c r="A2202"/>
      <c r="B2202"/>
      <c r="C2202"/>
      <c r="D2202"/>
      <c r="E2202"/>
      <c r="F2202"/>
      <c r="G2202"/>
      <c r="H2202"/>
      <c r="I2202"/>
      <c r="J2202"/>
      <c r="K2202"/>
      <c r="L2202"/>
      <c r="M2202"/>
      <c r="N2202"/>
      <c r="O2202"/>
      <c r="P2202"/>
      <c r="Q2202"/>
      <c r="R2202"/>
      <c r="S2202"/>
    </row>
    <row r="2203" spans="1:19" x14ac:dyDescent="0.25">
      <c r="A2203"/>
      <c r="B2203"/>
      <c r="C2203"/>
      <c r="D2203"/>
      <c r="E2203"/>
      <c r="F2203"/>
      <c r="G2203"/>
      <c r="H2203"/>
      <c r="I2203"/>
      <c r="J2203"/>
      <c r="K2203"/>
      <c r="L2203"/>
      <c r="M2203"/>
      <c r="N2203"/>
      <c r="O2203"/>
      <c r="P2203"/>
      <c r="Q2203"/>
      <c r="R2203"/>
      <c r="S2203"/>
    </row>
    <row r="2204" spans="1:19" x14ac:dyDescent="0.25">
      <c r="A2204"/>
      <c r="B2204"/>
      <c r="C2204"/>
      <c r="D2204"/>
      <c r="E2204"/>
      <c r="F2204"/>
      <c r="G2204"/>
      <c r="H2204"/>
      <c r="I2204"/>
      <c r="J2204"/>
      <c r="K2204"/>
      <c r="L2204"/>
      <c r="M2204"/>
      <c r="N2204"/>
      <c r="O2204"/>
      <c r="P2204"/>
      <c r="Q2204"/>
      <c r="R2204"/>
      <c r="S2204"/>
    </row>
    <row r="2205" spans="1:19" x14ac:dyDescent="0.25">
      <c r="A2205"/>
      <c r="B2205"/>
      <c r="C2205"/>
      <c r="D2205"/>
      <c r="E2205"/>
      <c r="F2205"/>
      <c r="G2205"/>
      <c r="H2205"/>
      <c r="I2205"/>
      <c r="J2205"/>
      <c r="K2205"/>
      <c r="L2205"/>
      <c r="M2205"/>
      <c r="N2205"/>
      <c r="O2205"/>
      <c r="P2205"/>
      <c r="Q2205"/>
      <c r="R2205"/>
      <c r="S2205"/>
    </row>
    <row r="2206" spans="1:19" x14ac:dyDescent="0.25">
      <c r="A2206"/>
      <c r="B2206"/>
      <c r="C2206"/>
      <c r="D2206"/>
      <c r="E2206"/>
      <c r="F2206"/>
      <c r="G2206"/>
      <c r="H2206"/>
      <c r="I2206"/>
      <c r="J2206"/>
      <c r="K2206"/>
      <c r="L2206"/>
      <c r="M2206"/>
      <c r="N2206"/>
      <c r="O2206"/>
      <c r="P2206"/>
      <c r="Q2206"/>
      <c r="R2206"/>
      <c r="S2206"/>
    </row>
    <row r="2207" spans="1:19" x14ac:dyDescent="0.25">
      <c r="A2207"/>
      <c r="B2207"/>
      <c r="C2207"/>
      <c r="D2207"/>
      <c r="E2207"/>
      <c r="F2207"/>
      <c r="G2207"/>
      <c r="H2207"/>
      <c r="I2207"/>
      <c r="J2207"/>
      <c r="K2207"/>
      <c r="L2207"/>
      <c r="M2207"/>
      <c r="N2207"/>
      <c r="O2207"/>
      <c r="P2207"/>
      <c r="Q2207"/>
      <c r="R2207"/>
      <c r="S2207"/>
    </row>
    <row r="2208" spans="1:19" x14ac:dyDescent="0.25">
      <c r="A2208"/>
      <c r="B2208"/>
      <c r="C2208"/>
      <c r="D2208"/>
      <c r="E2208"/>
      <c r="F2208"/>
      <c r="G2208"/>
      <c r="H2208"/>
      <c r="I2208"/>
      <c r="J2208"/>
      <c r="K2208"/>
      <c r="L2208"/>
      <c r="M2208"/>
      <c r="N2208"/>
      <c r="O2208"/>
      <c r="P2208"/>
      <c r="Q2208"/>
      <c r="R2208"/>
      <c r="S2208"/>
    </row>
    <row r="2209" spans="1:19" x14ac:dyDescent="0.25">
      <c r="A2209"/>
      <c r="B2209"/>
      <c r="C2209"/>
      <c r="D2209"/>
      <c r="E2209"/>
      <c r="F2209"/>
      <c r="G2209"/>
      <c r="H2209"/>
      <c r="I2209"/>
      <c r="J2209"/>
      <c r="K2209"/>
      <c r="L2209"/>
      <c r="M2209"/>
      <c r="N2209"/>
      <c r="O2209"/>
      <c r="P2209"/>
      <c r="Q2209"/>
      <c r="R2209"/>
      <c r="S2209"/>
    </row>
    <row r="2210" spans="1:19" x14ac:dyDescent="0.25">
      <c r="A2210"/>
      <c r="B2210"/>
      <c r="C2210"/>
      <c r="D2210"/>
      <c r="E2210"/>
      <c r="F2210"/>
      <c r="G2210"/>
      <c r="H2210"/>
      <c r="I2210"/>
      <c r="J2210"/>
      <c r="K2210"/>
      <c r="L2210"/>
      <c r="M2210"/>
      <c r="N2210"/>
      <c r="O2210"/>
      <c r="P2210"/>
      <c r="Q2210"/>
      <c r="R2210"/>
      <c r="S2210"/>
    </row>
    <row r="2211" spans="1:19" x14ac:dyDescent="0.25">
      <c r="A2211"/>
      <c r="B2211"/>
      <c r="C2211"/>
      <c r="D2211"/>
      <c r="E2211"/>
      <c r="F2211"/>
      <c r="G2211"/>
      <c r="H2211"/>
      <c r="I2211"/>
      <c r="J2211"/>
      <c r="K2211"/>
      <c r="L2211"/>
      <c r="M2211"/>
      <c r="N2211"/>
      <c r="O2211"/>
      <c r="P2211"/>
      <c r="Q2211"/>
      <c r="R2211"/>
      <c r="S2211"/>
    </row>
    <row r="2212" spans="1:19" x14ac:dyDescent="0.25">
      <c r="A2212"/>
      <c r="B2212"/>
      <c r="C2212"/>
      <c r="D2212"/>
      <c r="E2212"/>
      <c r="F2212"/>
      <c r="G2212"/>
      <c r="H2212"/>
      <c r="I2212"/>
      <c r="J2212"/>
      <c r="K2212"/>
      <c r="L2212"/>
      <c r="M2212"/>
      <c r="N2212"/>
      <c r="O2212"/>
      <c r="P2212"/>
      <c r="Q2212"/>
      <c r="R2212"/>
      <c r="S2212"/>
    </row>
    <row r="2213" spans="1:19" x14ac:dyDescent="0.25">
      <c r="A2213"/>
      <c r="B2213"/>
      <c r="C2213"/>
      <c r="D2213"/>
      <c r="E2213"/>
      <c r="F2213"/>
      <c r="G2213"/>
      <c r="H2213"/>
      <c r="I2213"/>
      <c r="J2213"/>
      <c r="K2213"/>
      <c r="L2213"/>
      <c r="M2213"/>
      <c r="N2213"/>
      <c r="O2213"/>
      <c r="P2213"/>
      <c r="Q2213"/>
      <c r="R2213"/>
      <c r="S2213"/>
    </row>
    <row r="2214" spans="1:19" x14ac:dyDescent="0.25">
      <c r="A2214"/>
      <c r="B2214"/>
      <c r="C2214"/>
      <c r="D2214"/>
      <c r="E2214"/>
      <c r="F2214"/>
      <c r="G2214"/>
      <c r="H2214"/>
      <c r="I2214"/>
      <c r="J2214"/>
      <c r="K2214"/>
      <c r="L2214"/>
      <c r="M2214"/>
      <c r="N2214"/>
      <c r="O2214"/>
      <c r="P2214"/>
      <c r="Q2214"/>
      <c r="R2214"/>
      <c r="S2214"/>
    </row>
    <row r="2215" spans="1:19" x14ac:dyDescent="0.25">
      <c r="A2215"/>
      <c r="B2215"/>
      <c r="C2215"/>
      <c r="D2215"/>
      <c r="E2215"/>
      <c r="F2215"/>
      <c r="G2215"/>
      <c r="H2215"/>
      <c r="I2215"/>
      <c r="J2215"/>
      <c r="K2215"/>
      <c r="L2215"/>
      <c r="M2215"/>
      <c r="N2215"/>
      <c r="O2215"/>
      <c r="P2215"/>
      <c r="Q2215"/>
      <c r="R2215"/>
      <c r="S2215"/>
    </row>
    <row r="2216" spans="1:19" x14ac:dyDescent="0.25">
      <c r="A2216"/>
      <c r="B2216"/>
      <c r="C2216"/>
      <c r="D2216"/>
      <c r="E2216"/>
      <c r="F2216"/>
      <c r="G2216"/>
      <c r="H2216"/>
      <c r="I2216"/>
      <c r="J2216"/>
      <c r="K2216"/>
      <c r="L2216"/>
      <c r="M2216"/>
      <c r="N2216"/>
      <c r="O2216"/>
      <c r="P2216"/>
      <c r="Q2216"/>
      <c r="R2216"/>
      <c r="S2216"/>
    </row>
    <row r="2217" spans="1:19" x14ac:dyDescent="0.25">
      <c r="A2217"/>
      <c r="B2217"/>
      <c r="C2217"/>
      <c r="D2217"/>
      <c r="E2217"/>
      <c r="F2217"/>
      <c r="G2217"/>
      <c r="H2217"/>
      <c r="I2217"/>
      <c r="J2217"/>
      <c r="K2217"/>
      <c r="L2217"/>
      <c r="M2217"/>
      <c r="N2217"/>
      <c r="O2217"/>
      <c r="P2217"/>
      <c r="Q2217"/>
      <c r="R2217"/>
      <c r="S2217"/>
    </row>
    <row r="2218" spans="1:19" x14ac:dyDescent="0.25">
      <c r="A2218"/>
      <c r="B2218"/>
      <c r="C2218"/>
      <c r="D2218"/>
      <c r="E2218"/>
      <c r="F2218"/>
      <c r="G2218"/>
      <c r="H2218"/>
      <c r="I2218"/>
      <c r="J2218"/>
      <c r="K2218"/>
      <c r="L2218"/>
      <c r="M2218"/>
      <c r="N2218"/>
      <c r="O2218"/>
      <c r="P2218"/>
      <c r="Q2218"/>
      <c r="R2218"/>
      <c r="S2218"/>
    </row>
    <row r="2219" spans="1:19" x14ac:dyDescent="0.25">
      <c r="A2219"/>
      <c r="B2219"/>
      <c r="C2219"/>
      <c r="D2219"/>
      <c r="E2219"/>
      <c r="F2219"/>
      <c r="G2219"/>
      <c r="H2219"/>
      <c r="I2219"/>
      <c r="J2219"/>
      <c r="K2219"/>
      <c r="L2219"/>
      <c r="M2219"/>
      <c r="N2219"/>
      <c r="O2219"/>
      <c r="P2219"/>
      <c r="Q2219"/>
      <c r="R2219"/>
      <c r="S2219"/>
    </row>
    <row r="2220" spans="1:19" x14ac:dyDescent="0.25">
      <c r="A2220"/>
      <c r="B2220"/>
      <c r="C2220"/>
      <c r="D2220"/>
      <c r="E2220"/>
      <c r="F2220"/>
      <c r="G2220"/>
      <c r="H2220"/>
      <c r="I2220"/>
      <c r="J2220"/>
      <c r="K2220"/>
      <c r="L2220"/>
      <c r="M2220"/>
      <c r="N2220"/>
      <c r="O2220"/>
      <c r="P2220"/>
      <c r="Q2220"/>
      <c r="R2220"/>
      <c r="S2220"/>
    </row>
    <row r="2221" spans="1:19" x14ac:dyDescent="0.25">
      <c r="A2221"/>
      <c r="B2221"/>
      <c r="C2221"/>
      <c r="D2221"/>
      <c r="E2221"/>
      <c r="F2221"/>
      <c r="G2221"/>
      <c r="H2221"/>
      <c r="I2221"/>
      <c r="J2221"/>
      <c r="K2221"/>
      <c r="L2221"/>
      <c r="M2221"/>
      <c r="N2221"/>
      <c r="O2221"/>
      <c r="P2221"/>
      <c r="Q2221"/>
      <c r="R2221"/>
      <c r="S2221"/>
    </row>
    <row r="2222" spans="1:19" x14ac:dyDescent="0.25">
      <c r="A2222"/>
      <c r="B2222"/>
      <c r="C2222"/>
      <c r="D2222"/>
      <c r="E2222"/>
      <c r="F2222"/>
      <c r="G2222"/>
      <c r="H2222"/>
      <c r="I2222"/>
      <c r="J2222"/>
      <c r="K2222"/>
      <c r="L2222"/>
      <c r="M2222"/>
      <c r="N2222"/>
      <c r="O2222"/>
      <c r="P2222"/>
      <c r="Q2222"/>
      <c r="R2222"/>
      <c r="S2222"/>
    </row>
    <row r="2223" spans="1:19" x14ac:dyDescent="0.25">
      <c r="A2223"/>
      <c r="B2223"/>
      <c r="C2223"/>
      <c r="D2223"/>
      <c r="E2223"/>
      <c r="F2223"/>
      <c r="G2223"/>
      <c r="H2223"/>
      <c r="I2223"/>
      <c r="J2223"/>
      <c r="K2223"/>
      <c r="L2223"/>
      <c r="M2223"/>
      <c r="N2223"/>
      <c r="O2223"/>
      <c r="P2223"/>
      <c r="Q2223"/>
      <c r="R2223"/>
      <c r="S2223"/>
    </row>
    <row r="2224" spans="1:19" x14ac:dyDescent="0.25">
      <c r="A2224"/>
      <c r="B2224"/>
      <c r="C2224"/>
      <c r="D2224"/>
      <c r="E2224"/>
      <c r="F2224"/>
      <c r="G2224"/>
      <c r="H2224"/>
      <c r="I2224"/>
      <c r="J2224"/>
      <c r="K2224"/>
      <c r="L2224"/>
      <c r="M2224"/>
      <c r="N2224"/>
      <c r="O2224"/>
      <c r="P2224"/>
      <c r="Q2224"/>
      <c r="R2224"/>
      <c r="S2224"/>
    </row>
    <row r="2225" spans="1:19" x14ac:dyDescent="0.25">
      <c r="A2225"/>
      <c r="B2225"/>
      <c r="C2225"/>
      <c r="D2225"/>
      <c r="E2225"/>
      <c r="F2225"/>
      <c r="G2225"/>
      <c r="H2225"/>
      <c r="I2225"/>
      <c r="J2225"/>
      <c r="K2225"/>
      <c r="L2225"/>
      <c r="M2225"/>
      <c r="N2225"/>
      <c r="O2225"/>
      <c r="P2225"/>
      <c r="Q2225"/>
      <c r="R2225"/>
      <c r="S2225"/>
    </row>
    <row r="2226" spans="1:19" x14ac:dyDescent="0.25">
      <c r="A2226"/>
      <c r="B2226"/>
      <c r="C2226"/>
      <c r="D2226"/>
      <c r="E2226"/>
      <c r="F2226"/>
      <c r="G2226"/>
      <c r="H2226"/>
      <c r="I2226"/>
      <c r="J2226"/>
      <c r="K2226"/>
      <c r="L2226"/>
      <c r="M2226"/>
      <c r="N2226"/>
      <c r="O2226"/>
      <c r="P2226"/>
      <c r="Q2226"/>
      <c r="R2226"/>
      <c r="S2226"/>
    </row>
    <row r="2227" spans="1:19" x14ac:dyDescent="0.25">
      <c r="A2227"/>
      <c r="B2227"/>
      <c r="C2227"/>
      <c r="D2227"/>
      <c r="E2227"/>
      <c r="F2227"/>
      <c r="G2227"/>
      <c r="H2227"/>
      <c r="I2227"/>
      <c r="J2227"/>
      <c r="K2227"/>
      <c r="L2227"/>
      <c r="M2227"/>
      <c r="N2227"/>
      <c r="O2227"/>
      <c r="P2227"/>
      <c r="Q2227"/>
      <c r="R2227"/>
      <c r="S2227"/>
    </row>
    <row r="2228" spans="1:19" x14ac:dyDescent="0.25">
      <c r="A2228"/>
      <c r="B2228"/>
      <c r="C2228"/>
      <c r="D2228"/>
      <c r="E2228"/>
      <c r="F2228"/>
      <c r="G2228"/>
      <c r="H2228"/>
      <c r="I2228"/>
      <c r="J2228"/>
      <c r="K2228"/>
      <c r="L2228"/>
      <c r="M2228"/>
      <c r="N2228"/>
      <c r="O2228"/>
      <c r="P2228"/>
      <c r="Q2228"/>
      <c r="R2228"/>
      <c r="S2228"/>
    </row>
    <row r="2229" spans="1:19" x14ac:dyDescent="0.25">
      <c r="A2229"/>
      <c r="B2229"/>
      <c r="C2229"/>
      <c r="D2229"/>
      <c r="E2229"/>
      <c r="F2229"/>
      <c r="G2229"/>
      <c r="H2229"/>
      <c r="I2229"/>
      <c r="J2229"/>
      <c r="K2229"/>
      <c r="L2229"/>
      <c r="M2229"/>
      <c r="N2229"/>
      <c r="O2229"/>
      <c r="P2229"/>
      <c r="Q2229"/>
      <c r="R2229"/>
      <c r="S2229"/>
    </row>
    <row r="2230" spans="1:19" x14ac:dyDescent="0.25">
      <c r="A2230"/>
      <c r="B2230"/>
      <c r="C2230"/>
      <c r="D2230"/>
      <c r="E2230"/>
      <c r="F2230"/>
      <c r="G2230"/>
      <c r="H2230"/>
      <c r="I2230"/>
      <c r="J2230"/>
      <c r="K2230"/>
      <c r="L2230"/>
      <c r="M2230"/>
      <c r="N2230"/>
      <c r="O2230"/>
      <c r="P2230"/>
      <c r="Q2230"/>
      <c r="R2230"/>
      <c r="S2230"/>
    </row>
    <row r="2231" spans="1:19" x14ac:dyDescent="0.25">
      <c r="A2231"/>
      <c r="B2231"/>
      <c r="C2231"/>
      <c r="D2231"/>
      <c r="E2231"/>
      <c r="F2231"/>
      <c r="G2231"/>
      <c r="H2231"/>
      <c r="I2231"/>
      <c r="J2231"/>
      <c r="K2231"/>
      <c r="L2231"/>
      <c r="M2231"/>
      <c r="N2231"/>
      <c r="O2231"/>
      <c r="P2231"/>
      <c r="Q2231"/>
      <c r="R2231"/>
      <c r="S2231"/>
    </row>
    <row r="2232" spans="1:19" x14ac:dyDescent="0.25">
      <c r="A2232"/>
      <c r="B2232"/>
      <c r="C2232"/>
      <c r="D2232"/>
      <c r="E2232"/>
      <c r="F2232"/>
      <c r="G2232"/>
      <c r="H2232"/>
      <c r="I2232"/>
      <c r="J2232"/>
      <c r="K2232"/>
      <c r="L2232"/>
      <c r="M2232"/>
      <c r="N2232"/>
      <c r="O2232"/>
      <c r="P2232"/>
      <c r="Q2232"/>
      <c r="R2232"/>
      <c r="S2232"/>
    </row>
    <row r="2233" spans="1:19" x14ac:dyDescent="0.25">
      <c r="A2233"/>
      <c r="B2233"/>
      <c r="C2233"/>
      <c r="D2233"/>
      <c r="E2233"/>
      <c r="F2233"/>
      <c r="G2233"/>
      <c r="H2233"/>
      <c r="I2233"/>
      <c r="J2233"/>
      <c r="K2233"/>
      <c r="L2233"/>
      <c r="M2233"/>
      <c r="N2233"/>
      <c r="O2233"/>
      <c r="P2233"/>
      <c r="Q2233"/>
      <c r="R2233"/>
      <c r="S2233"/>
    </row>
    <row r="2234" spans="1:19" x14ac:dyDescent="0.25">
      <c r="A2234"/>
      <c r="B2234"/>
      <c r="C2234"/>
      <c r="D2234"/>
      <c r="E2234"/>
      <c r="F2234"/>
      <c r="G2234"/>
      <c r="H2234"/>
      <c r="I2234"/>
      <c r="J2234"/>
      <c r="K2234"/>
      <c r="L2234"/>
      <c r="M2234"/>
      <c r="N2234"/>
      <c r="O2234"/>
      <c r="P2234"/>
      <c r="Q2234"/>
      <c r="R2234"/>
      <c r="S2234"/>
    </row>
    <row r="2235" spans="1:19" x14ac:dyDescent="0.25">
      <c r="A2235"/>
      <c r="B2235"/>
      <c r="C2235"/>
      <c r="D2235"/>
      <c r="E2235"/>
      <c r="F2235"/>
      <c r="G2235"/>
      <c r="H2235"/>
      <c r="I2235"/>
      <c r="J2235"/>
      <c r="K2235"/>
      <c r="L2235"/>
      <c r="M2235"/>
      <c r="N2235"/>
      <c r="O2235"/>
      <c r="P2235"/>
      <c r="Q2235"/>
      <c r="R2235"/>
      <c r="S2235"/>
    </row>
    <row r="2236" spans="1:19" x14ac:dyDescent="0.25">
      <c r="A2236"/>
      <c r="B2236"/>
      <c r="C2236"/>
      <c r="D2236"/>
      <c r="E2236"/>
      <c r="F2236"/>
      <c r="G2236"/>
      <c r="H2236"/>
      <c r="I2236"/>
      <c r="J2236"/>
      <c r="K2236"/>
      <c r="L2236"/>
      <c r="M2236"/>
      <c r="N2236"/>
      <c r="O2236"/>
      <c r="P2236"/>
      <c r="Q2236"/>
      <c r="R2236"/>
      <c r="S2236"/>
    </row>
    <row r="2237" spans="1:19" x14ac:dyDescent="0.25">
      <c r="A2237"/>
      <c r="B2237"/>
      <c r="C2237"/>
      <c r="D2237"/>
      <c r="E2237"/>
      <c r="F2237"/>
      <c r="G2237"/>
      <c r="H2237"/>
      <c r="I2237"/>
      <c r="J2237"/>
      <c r="K2237"/>
      <c r="L2237"/>
      <c r="M2237"/>
      <c r="N2237"/>
      <c r="O2237"/>
      <c r="P2237"/>
      <c r="Q2237"/>
      <c r="R2237"/>
      <c r="S2237"/>
    </row>
    <row r="2238" spans="1:19" x14ac:dyDescent="0.25">
      <c r="A2238"/>
      <c r="B2238"/>
      <c r="C2238"/>
      <c r="D2238"/>
      <c r="E2238"/>
      <c r="F2238"/>
      <c r="G2238"/>
      <c r="H2238"/>
      <c r="I2238"/>
      <c r="J2238"/>
      <c r="K2238"/>
      <c r="L2238"/>
      <c r="M2238"/>
      <c r="N2238"/>
      <c r="O2238"/>
      <c r="P2238"/>
      <c r="Q2238"/>
      <c r="R2238"/>
      <c r="S2238"/>
    </row>
    <row r="2239" spans="1:19" x14ac:dyDescent="0.25">
      <c r="A2239"/>
      <c r="B2239"/>
      <c r="C2239"/>
      <c r="D2239"/>
      <c r="E2239"/>
      <c r="F2239"/>
      <c r="G2239"/>
      <c r="H2239"/>
      <c r="I2239"/>
      <c r="J2239"/>
      <c r="K2239"/>
      <c r="L2239"/>
      <c r="M2239"/>
      <c r="N2239"/>
      <c r="O2239"/>
      <c r="P2239"/>
      <c r="Q2239"/>
      <c r="R2239"/>
      <c r="S2239"/>
    </row>
    <row r="2240" spans="1:19" x14ac:dyDescent="0.25">
      <c r="A2240"/>
      <c r="B2240"/>
      <c r="C2240"/>
      <c r="D2240"/>
      <c r="E2240"/>
      <c r="F2240"/>
      <c r="G2240"/>
      <c r="H2240"/>
      <c r="I2240"/>
      <c r="J2240"/>
      <c r="K2240"/>
      <c r="L2240"/>
      <c r="M2240"/>
      <c r="N2240"/>
      <c r="O2240"/>
      <c r="P2240"/>
      <c r="Q2240"/>
      <c r="R2240"/>
      <c r="S2240"/>
    </row>
    <row r="2241" spans="1:19" x14ac:dyDescent="0.25">
      <c r="A2241"/>
      <c r="B2241"/>
      <c r="C2241"/>
      <c r="D2241"/>
      <c r="E2241"/>
      <c r="F2241"/>
      <c r="G2241"/>
      <c r="H2241"/>
      <c r="I2241"/>
      <c r="J2241"/>
      <c r="K2241"/>
      <c r="L2241"/>
      <c r="M2241"/>
      <c r="N2241"/>
      <c r="O2241"/>
      <c r="P2241"/>
      <c r="Q2241"/>
      <c r="R2241"/>
      <c r="S2241"/>
    </row>
    <row r="2242" spans="1:19" x14ac:dyDescent="0.25">
      <c r="A2242"/>
      <c r="B2242"/>
      <c r="C2242"/>
      <c r="D2242"/>
      <c r="E2242"/>
      <c r="F2242"/>
      <c r="G2242"/>
      <c r="H2242"/>
      <c r="I2242"/>
      <c r="J2242"/>
      <c r="K2242"/>
      <c r="L2242"/>
      <c r="M2242"/>
      <c r="N2242"/>
      <c r="O2242"/>
      <c r="P2242"/>
      <c r="Q2242"/>
      <c r="R2242"/>
      <c r="S2242"/>
    </row>
    <row r="2243" spans="1:19" x14ac:dyDescent="0.25">
      <c r="A2243"/>
      <c r="B2243"/>
      <c r="C2243"/>
      <c r="D2243"/>
      <c r="E2243"/>
      <c r="F2243"/>
      <c r="G2243"/>
      <c r="H2243"/>
      <c r="I2243"/>
      <c r="J2243"/>
      <c r="K2243"/>
      <c r="L2243"/>
      <c r="M2243"/>
      <c r="N2243"/>
      <c r="O2243"/>
      <c r="P2243"/>
      <c r="Q2243"/>
      <c r="R2243"/>
      <c r="S2243"/>
    </row>
    <row r="2244" spans="1:19" x14ac:dyDescent="0.25">
      <c r="A2244"/>
      <c r="B2244"/>
      <c r="C2244"/>
      <c r="D2244"/>
      <c r="E2244"/>
      <c r="F2244"/>
      <c r="G2244"/>
      <c r="H2244"/>
      <c r="I2244"/>
      <c r="J2244"/>
      <c r="K2244"/>
      <c r="L2244"/>
      <c r="M2244"/>
      <c r="N2244"/>
      <c r="O2244"/>
      <c r="P2244"/>
      <c r="Q2244"/>
      <c r="R2244"/>
      <c r="S2244"/>
    </row>
    <row r="2245" spans="1:19" x14ac:dyDescent="0.25">
      <c r="A2245"/>
      <c r="B2245"/>
      <c r="C2245"/>
      <c r="D2245"/>
      <c r="E2245"/>
      <c r="F2245"/>
      <c r="G2245"/>
      <c r="H2245"/>
      <c r="I2245"/>
      <c r="J2245"/>
      <c r="K2245"/>
      <c r="L2245"/>
      <c r="M2245"/>
      <c r="N2245"/>
      <c r="O2245"/>
      <c r="P2245"/>
      <c r="Q2245"/>
      <c r="R2245"/>
      <c r="S2245"/>
    </row>
    <row r="2246" spans="1:19" x14ac:dyDescent="0.25">
      <c r="A2246"/>
      <c r="B2246"/>
      <c r="C2246"/>
      <c r="D2246"/>
      <c r="E2246"/>
      <c r="F2246"/>
      <c r="G2246"/>
      <c r="H2246"/>
      <c r="I2246"/>
      <c r="J2246"/>
      <c r="K2246"/>
      <c r="L2246"/>
      <c r="M2246"/>
      <c r="N2246"/>
      <c r="O2246"/>
      <c r="P2246"/>
      <c r="Q2246"/>
      <c r="R2246"/>
      <c r="S2246"/>
    </row>
    <row r="2247" spans="1:19" x14ac:dyDescent="0.25">
      <c r="A2247"/>
      <c r="B2247"/>
      <c r="C2247"/>
      <c r="D2247"/>
      <c r="E2247"/>
      <c r="F2247"/>
      <c r="G2247"/>
      <c r="H2247"/>
      <c r="I2247"/>
      <c r="J2247"/>
      <c r="K2247"/>
      <c r="L2247"/>
      <c r="M2247"/>
      <c r="N2247"/>
      <c r="O2247"/>
      <c r="P2247"/>
      <c r="Q2247"/>
      <c r="R2247"/>
      <c r="S2247"/>
    </row>
    <row r="2248" spans="1:19" x14ac:dyDescent="0.25">
      <c r="A2248"/>
      <c r="B2248"/>
      <c r="C2248"/>
      <c r="D2248"/>
      <c r="E2248"/>
      <c r="F2248"/>
      <c r="G2248"/>
      <c r="H2248"/>
      <c r="I2248"/>
      <c r="J2248"/>
      <c r="K2248"/>
      <c r="L2248"/>
      <c r="M2248"/>
      <c r="N2248"/>
      <c r="O2248"/>
      <c r="P2248"/>
      <c r="Q2248"/>
      <c r="R2248"/>
      <c r="S2248"/>
    </row>
    <row r="2249" spans="1:19" x14ac:dyDescent="0.25">
      <c r="A2249"/>
      <c r="B2249"/>
      <c r="C2249"/>
      <c r="D2249"/>
      <c r="E2249"/>
      <c r="F2249"/>
      <c r="G2249"/>
      <c r="H2249"/>
      <c r="I2249"/>
      <c r="J2249"/>
      <c r="K2249"/>
      <c r="L2249"/>
      <c r="M2249"/>
      <c r="N2249"/>
      <c r="O2249"/>
      <c r="P2249"/>
      <c r="Q2249"/>
      <c r="R2249"/>
      <c r="S2249"/>
    </row>
    <row r="2250" spans="1:19" x14ac:dyDescent="0.25">
      <c r="A2250"/>
      <c r="B2250"/>
      <c r="C2250"/>
      <c r="D2250"/>
      <c r="E2250"/>
      <c r="F2250"/>
      <c r="G2250"/>
      <c r="H2250"/>
      <c r="I2250"/>
      <c r="J2250"/>
      <c r="K2250"/>
      <c r="L2250"/>
      <c r="M2250"/>
      <c r="N2250"/>
      <c r="O2250"/>
      <c r="P2250"/>
      <c r="Q2250"/>
      <c r="R2250"/>
      <c r="S2250"/>
    </row>
    <row r="2251" spans="1:19" x14ac:dyDescent="0.25">
      <c r="A2251"/>
      <c r="B2251"/>
      <c r="C2251"/>
      <c r="D2251"/>
      <c r="E2251"/>
      <c r="F2251"/>
      <c r="G2251"/>
      <c r="H2251"/>
      <c r="I2251"/>
      <c r="J2251"/>
      <c r="K2251"/>
      <c r="L2251"/>
      <c r="M2251"/>
      <c r="N2251"/>
      <c r="O2251"/>
      <c r="P2251"/>
      <c r="Q2251"/>
      <c r="R2251"/>
      <c r="S2251"/>
    </row>
    <row r="2252" spans="1:19" x14ac:dyDescent="0.25">
      <c r="A2252"/>
      <c r="B2252"/>
      <c r="C2252"/>
      <c r="D2252"/>
      <c r="E2252"/>
      <c r="F2252"/>
      <c r="G2252"/>
      <c r="H2252"/>
      <c r="I2252"/>
      <c r="J2252"/>
      <c r="K2252"/>
      <c r="L2252"/>
      <c r="M2252"/>
      <c r="N2252"/>
      <c r="O2252"/>
      <c r="P2252"/>
      <c r="Q2252"/>
      <c r="R2252"/>
      <c r="S2252"/>
    </row>
    <row r="2253" spans="1:19" x14ac:dyDescent="0.25">
      <c r="A2253"/>
      <c r="B2253"/>
      <c r="C2253"/>
      <c r="D2253"/>
      <c r="E2253"/>
      <c r="F2253"/>
      <c r="G2253"/>
      <c r="H2253"/>
      <c r="I2253"/>
      <c r="J2253"/>
      <c r="K2253"/>
      <c r="L2253"/>
      <c r="M2253"/>
      <c r="N2253"/>
      <c r="O2253"/>
      <c r="P2253"/>
      <c r="Q2253"/>
      <c r="R2253"/>
      <c r="S2253"/>
    </row>
    <row r="2254" spans="1:19" x14ac:dyDescent="0.25">
      <c r="A2254"/>
      <c r="B2254"/>
      <c r="C2254"/>
      <c r="D2254"/>
      <c r="E2254"/>
      <c r="F2254"/>
      <c r="G2254"/>
      <c r="H2254"/>
      <c r="I2254"/>
      <c r="J2254"/>
      <c r="K2254"/>
      <c r="L2254"/>
      <c r="M2254"/>
      <c r="N2254"/>
      <c r="O2254"/>
      <c r="P2254"/>
      <c r="Q2254"/>
      <c r="R2254"/>
      <c r="S2254"/>
    </row>
    <row r="2255" spans="1:19" x14ac:dyDescent="0.25">
      <c r="A2255"/>
      <c r="B2255"/>
      <c r="C2255"/>
      <c r="D2255"/>
      <c r="E2255"/>
      <c r="F2255"/>
      <c r="G2255"/>
      <c r="H2255"/>
      <c r="I2255"/>
      <c r="J2255"/>
      <c r="K2255"/>
      <c r="L2255"/>
      <c r="M2255"/>
      <c r="N2255"/>
      <c r="O2255"/>
      <c r="P2255"/>
      <c r="Q2255"/>
      <c r="R2255"/>
      <c r="S2255"/>
    </row>
    <row r="2256" spans="1:19" x14ac:dyDescent="0.25">
      <c r="A2256"/>
      <c r="B2256"/>
      <c r="C2256"/>
      <c r="D2256"/>
      <c r="E2256"/>
      <c r="F2256"/>
      <c r="G2256"/>
      <c r="H2256"/>
      <c r="I2256"/>
      <c r="J2256"/>
      <c r="K2256"/>
      <c r="L2256"/>
      <c r="M2256"/>
      <c r="N2256"/>
      <c r="O2256"/>
      <c r="P2256"/>
      <c r="Q2256"/>
      <c r="R2256"/>
      <c r="S2256"/>
    </row>
    <row r="2257" spans="1:19" x14ac:dyDescent="0.25">
      <c r="A2257"/>
      <c r="B2257"/>
      <c r="C2257"/>
      <c r="D2257"/>
      <c r="E2257"/>
      <c r="F2257"/>
      <c r="G2257"/>
      <c r="H2257"/>
      <c r="I2257"/>
      <c r="J2257"/>
      <c r="K2257"/>
      <c r="L2257"/>
      <c r="M2257"/>
      <c r="N2257"/>
      <c r="O2257"/>
      <c r="P2257"/>
      <c r="Q2257"/>
      <c r="R2257"/>
      <c r="S2257"/>
    </row>
    <row r="2258" spans="1:19" x14ac:dyDescent="0.25">
      <c r="A2258"/>
      <c r="B2258"/>
      <c r="C2258"/>
      <c r="D2258"/>
      <c r="E2258"/>
      <c r="F2258"/>
      <c r="G2258"/>
      <c r="H2258"/>
      <c r="I2258"/>
      <c r="J2258"/>
      <c r="K2258"/>
      <c r="L2258"/>
      <c r="M2258"/>
      <c r="N2258"/>
      <c r="O2258"/>
      <c r="P2258"/>
      <c r="Q2258"/>
      <c r="R2258"/>
      <c r="S2258"/>
    </row>
    <row r="2259" spans="1:19" x14ac:dyDescent="0.25">
      <c r="A2259"/>
      <c r="B2259"/>
      <c r="C2259"/>
      <c r="D2259"/>
      <c r="E2259"/>
      <c r="F2259"/>
      <c r="G2259"/>
      <c r="H2259"/>
      <c r="I2259"/>
      <c r="J2259"/>
      <c r="K2259"/>
      <c r="L2259"/>
      <c r="M2259"/>
      <c r="N2259"/>
      <c r="O2259"/>
      <c r="P2259"/>
      <c r="Q2259"/>
      <c r="R2259"/>
      <c r="S2259"/>
    </row>
    <row r="2260" spans="1:19" x14ac:dyDescent="0.25">
      <c r="A2260"/>
      <c r="B2260"/>
      <c r="C2260"/>
      <c r="D2260"/>
      <c r="E2260"/>
      <c r="F2260"/>
      <c r="G2260"/>
      <c r="H2260"/>
      <c r="I2260"/>
      <c r="J2260"/>
      <c r="K2260"/>
      <c r="L2260"/>
      <c r="M2260"/>
      <c r="N2260"/>
      <c r="O2260"/>
      <c r="P2260"/>
      <c r="Q2260"/>
      <c r="R2260"/>
      <c r="S2260"/>
    </row>
    <row r="2261" spans="1:19" x14ac:dyDescent="0.25">
      <c r="A2261"/>
      <c r="B2261"/>
      <c r="C2261"/>
      <c r="D2261"/>
      <c r="E2261"/>
      <c r="F2261"/>
      <c r="G2261"/>
      <c r="H2261"/>
      <c r="I2261"/>
      <c r="J2261"/>
      <c r="K2261"/>
      <c r="L2261"/>
      <c r="M2261"/>
      <c r="N2261"/>
      <c r="O2261"/>
      <c r="P2261"/>
      <c r="Q2261"/>
      <c r="R2261"/>
      <c r="S2261"/>
    </row>
    <row r="2262" spans="1:19" x14ac:dyDescent="0.25">
      <c r="A2262"/>
      <c r="B2262"/>
      <c r="C2262"/>
      <c r="D2262"/>
      <c r="E2262"/>
      <c r="F2262"/>
      <c r="G2262"/>
      <c r="H2262"/>
      <c r="I2262"/>
      <c r="J2262"/>
      <c r="K2262"/>
      <c r="L2262"/>
      <c r="M2262"/>
      <c r="N2262"/>
      <c r="O2262"/>
      <c r="P2262"/>
      <c r="Q2262"/>
      <c r="R2262"/>
      <c r="S2262"/>
    </row>
    <row r="2263" spans="1:19" x14ac:dyDescent="0.25">
      <c r="A2263"/>
      <c r="B2263"/>
      <c r="C2263"/>
      <c r="D2263"/>
      <c r="E2263"/>
      <c r="F2263"/>
      <c r="G2263"/>
      <c r="H2263"/>
      <c r="I2263"/>
      <c r="J2263"/>
      <c r="K2263"/>
      <c r="L2263"/>
      <c r="M2263"/>
      <c r="N2263"/>
      <c r="O2263"/>
      <c r="P2263"/>
      <c r="Q2263"/>
      <c r="R2263"/>
      <c r="S2263"/>
    </row>
    <row r="2264" spans="1:19" x14ac:dyDescent="0.25">
      <c r="A2264"/>
      <c r="B2264"/>
      <c r="C2264"/>
      <c r="D2264"/>
      <c r="E2264"/>
      <c r="F2264"/>
      <c r="G2264"/>
      <c r="H2264"/>
      <c r="I2264"/>
      <c r="J2264"/>
      <c r="K2264"/>
      <c r="L2264"/>
      <c r="M2264"/>
      <c r="N2264"/>
      <c r="O2264"/>
      <c r="P2264"/>
      <c r="Q2264"/>
      <c r="R2264"/>
      <c r="S2264"/>
    </row>
    <row r="2265" spans="1:19" x14ac:dyDescent="0.25">
      <c r="A2265"/>
      <c r="B2265"/>
      <c r="C2265"/>
      <c r="D2265"/>
      <c r="E2265"/>
      <c r="F2265"/>
      <c r="G2265"/>
      <c r="H2265"/>
      <c r="I2265"/>
      <c r="J2265"/>
      <c r="K2265"/>
      <c r="L2265"/>
      <c r="M2265"/>
      <c r="N2265"/>
      <c r="O2265"/>
      <c r="P2265"/>
      <c r="Q2265"/>
      <c r="R2265"/>
      <c r="S2265"/>
    </row>
    <row r="2266" spans="1:19" x14ac:dyDescent="0.25">
      <c r="A2266"/>
      <c r="B2266"/>
      <c r="C2266"/>
      <c r="D2266"/>
      <c r="E2266"/>
      <c r="F2266"/>
      <c r="G2266"/>
      <c r="H2266"/>
      <c r="I2266"/>
      <c r="J2266"/>
      <c r="K2266"/>
      <c r="L2266"/>
      <c r="M2266"/>
      <c r="N2266"/>
      <c r="O2266"/>
      <c r="P2266"/>
      <c r="Q2266"/>
      <c r="R2266"/>
      <c r="S2266"/>
    </row>
    <row r="2267" spans="1:19" x14ac:dyDescent="0.25">
      <c r="A2267"/>
      <c r="B2267"/>
      <c r="C2267"/>
      <c r="D2267"/>
      <c r="E2267"/>
      <c r="F2267"/>
      <c r="G2267"/>
      <c r="H2267"/>
      <c r="I2267"/>
      <c r="J2267"/>
      <c r="K2267"/>
      <c r="L2267"/>
      <c r="M2267"/>
      <c r="N2267"/>
      <c r="O2267"/>
      <c r="P2267"/>
      <c r="Q2267"/>
      <c r="R2267"/>
      <c r="S2267"/>
    </row>
    <row r="2268" spans="1:19" x14ac:dyDescent="0.25">
      <c r="A2268"/>
      <c r="B2268"/>
      <c r="C2268"/>
      <c r="D2268"/>
      <c r="E2268"/>
      <c r="F2268"/>
      <c r="G2268"/>
      <c r="H2268"/>
      <c r="I2268"/>
      <c r="J2268"/>
      <c r="K2268"/>
      <c r="L2268"/>
      <c r="M2268"/>
      <c r="N2268"/>
      <c r="O2268"/>
      <c r="P2268"/>
      <c r="Q2268"/>
      <c r="R2268"/>
      <c r="S2268"/>
    </row>
    <row r="2269" spans="1:19" x14ac:dyDescent="0.25">
      <c r="A2269"/>
      <c r="B2269"/>
      <c r="C2269"/>
      <c r="D2269"/>
      <c r="E2269"/>
      <c r="F2269"/>
      <c r="G2269"/>
      <c r="H2269"/>
      <c r="I2269"/>
      <c r="J2269"/>
      <c r="K2269"/>
      <c r="L2269"/>
      <c r="M2269"/>
      <c r="N2269"/>
      <c r="O2269"/>
      <c r="P2269"/>
      <c r="Q2269"/>
      <c r="R2269"/>
      <c r="S2269"/>
    </row>
    <row r="2270" spans="1:19" x14ac:dyDescent="0.25">
      <c r="A2270"/>
      <c r="B2270"/>
      <c r="C2270"/>
      <c r="D2270"/>
      <c r="E2270"/>
      <c r="F2270"/>
      <c r="G2270"/>
      <c r="H2270"/>
      <c r="I2270"/>
      <c r="J2270"/>
      <c r="K2270"/>
      <c r="L2270"/>
      <c r="M2270"/>
      <c r="N2270"/>
      <c r="O2270"/>
      <c r="P2270"/>
      <c r="Q2270"/>
      <c r="R2270"/>
      <c r="S2270"/>
    </row>
    <row r="2271" spans="1:19" x14ac:dyDescent="0.25">
      <c r="A2271"/>
      <c r="B2271"/>
      <c r="C2271"/>
      <c r="D2271"/>
      <c r="E2271"/>
      <c r="F2271"/>
      <c r="G2271"/>
      <c r="H2271"/>
      <c r="I2271"/>
      <c r="J2271"/>
      <c r="K2271"/>
      <c r="L2271"/>
      <c r="M2271"/>
      <c r="N2271"/>
      <c r="O2271"/>
      <c r="P2271"/>
      <c r="Q2271"/>
      <c r="R2271"/>
      <c r="S2271"/>
    </row>
    <row r="2272" spans="1:19" x14ac:dyDescent="0.25">
      <c r="A2272"/>
      <c r="B2272"/>
      <c r="C2272"/>
      <c r="D2272"/>
      <c r="E2272"/>
      <c r="F2272"/>
      <c r="G2272"/>
      <c r="H2272"/>
      <c r="I2272"/>
      <c r="J2272"/>
      <c r="K2272"/>
      <c r="L2272"/>
      <c r="M2272"/>
      <c r="N2272"/>
      <c r="O2272"/>
      <c r="P2272"/>
      <c r="Q2272"/>
      <c r="R2272"/>
      <c r="S2272"/>
    </row>
    <row r="2273" spans="1:19" x14ac:dyDescent="0.25">
      <c r="A2273"/>
      <c r="B2273"/>
      <c r="C2273"/>
      <c r="D2273"/>
      <c r="E2273"/>
      <c r="F2273"/>
      <c r="G2273"/>
      <c r="H2273"/>
      <c r="I2273"/>
      <c r="J2273"/>
      <c r="K2273"/>
      <c r="L2273"/>
      <c r="M2273"/>
      <c r="N2273"/>
      <c r="O2273"/>
      <c r="P2273"/>
      <c r="Q2273"/>
      <c r="R2273"/>
      <c r="S2273"/>
    </row>
    <row r="2274" spans="1:19" x14ac:dyDescent="0.25">
      <c r="A2274"/>
      <c r="B2274"/>
      <c r="C2274"/>
      <c r="D2274"/>
      <c r="E2274"/>
      <c r="F2274"/>
      <c r="G2274"/>
      <c r="H2274"/>
      <c r="I2274"/>
      <c r="J2274"/>
      <c r="K2274"/>
      <c r="L2274"/>
      <c r="M2274"/>
      <c r="N2274"/>
      <c r="O2274"/>
      <c r="P2274"/>
      <c r="Q2274"/>
      <c r="R2274"/>
      <c r="S2274"/>
    </row>
    <row r="2275" spans="1:19" x14ac:dyDescent="0.25">
      <c r="A2275"/>
      <c r="B2275"/>
      <c r="C2275"/>
      <c r="D2275"/>
      <c r="E2275"/>
      <c r="F2275"/>
      <c r="G2275"/>
      <c r="H2275"/>
      <c r="I2275"/>
      <c r="J2275"/>
      <c r="K2275"/>
      <c r="L2275"/>
      <c r="M2275"/>
      <c r="N2275"/>
      <c r="O2275"/>
      <c r="P2275"/>
      <c r="Q2275"/>
      <c r="R2275"/>
      <c r="S2275"/>
    </row>
    <row r="2276" spans="1:19" x14ac:dyDescent="0.25">
      <c r="A2276"/>
      <c r="B2276"/>
      <c r="C2276"/>
      <c r="D2276"/>
      <c r="E2276"/>
      <c r="F2276"/>
      <c r="G2276"/>
      <c r="H2276"/>
      <c r="I2276"/>
      <c r="J2276"/>
      <c r="K2276"/>
      <c r="L2276"/>
      <c r="M2276"/>
      <c r="N2276"/>
      <c r="O2276"/>
      <c r="P2276"/>
      <c r="Q2276"/>
      <c r="R2276"/>
      <c r="S2276"/>
    </row>
    <row r="2277" spans="1:19" x14ac:dyDescent="0.25">
      <c r="A2277"/>
      <c r="B2277"/>
      <c r="C2277"/>
      <c r="D2277"/>
      <c r="E2277"/>
      <c r="F2277"/>
      <c r="G2277"/>
      <c r="H2277"/>
      <c r="I2277"/>
      <c r="J2277"/>
      <c r="K2277"/>
      <c r="L2277"/>
      <c r="M2277"/>
      <c r="N2277"/>
      <c r="O2277"/>
      <c r="P2277"/>
      <c r="Q2277"/>
      <c r="R2277"/>
      <c r="S2277"/>
    </row>
    <row r="2278" spans="1:19" x14ac:dyDescent="0.25">
      <c r="A2278"/>
      <c r="B2278"/>
      <c r="C2278"/>
      <c r="D2278"/>
      <c r="E2278"/>
      <c r="F2278"/>
      <c r="G2278"/>
      <c r="H2278"/>
      <c r="I2278"/>
      <c r="J2278"/>
      <c r="K2278"/>
      <c r="L2278"/>
      <c r="M2278"/>
      <c r="N2278"/>
      <c r="O2278"/>
      <c r="P2278"/>
      <c r="Q2278"/>
      <c r="R2278"/>
      <c r="S2278"/>
    </row>
    <row r="2279" spans="1:19" x14ac:dyDescent="0.25">
      <c r="A2279"/>
      <c r="B2279"/>
      <c r="C2279"/>
      <c r="D2279"/>
      <c r="E2279"/>
      <c r="F2279"/>
      <c r="G2279"/>
      <c r="H2279"/>
      <c r="I2279"/>
      <c r="J2279"/>
      <c r="K2279"/>
      <c r="L2279"/>
      <c r="M2279"/>
      <c r="N2279"/>
      <c r="O2279"/>
      <c r="P2279"/>
      <c r="Q2279"/>
      <c r="R2279"/>
      <c r="S2279"/>
    </row>
    <row r="2280" spans="1:19" x14ac:dyDescent="0.25">
      <c r="A2280"/>
      <c r="B2280"/>
      <c r="C2280"/>
      <c r="D2280"/>
      <c r="E2280"/>
      <c r="F2280"/>
      <c r="G2280"/>
      <c r="H2280"/>
      <c r="I2280"/>
      <c r="J2280"/>
      <c r="K2280"/>
      <c r="L2280"/>
      <c r="M2280"/>
      <c r="N2280"/>
      <c r="O2280"/>
      <c r="P2280"/>
      <c r="Q2280"/>
      <c r="R2280"/>
      <c r="S2280"/>
    </row>
    <row r="2281" spans="1:19" x14ac:dyDescent="0.25">
      <c r="A2281"/>
      <c r="B2281"/>
      <c r="C2281"/>
      <c r="D2281"/>
      <c r="E2281"/>
      <c r="F2281"/>
      <c r="G2281"/>
      <c r="H2281"/>
      <c r="I2281"/>
      <c r="J2281"/>
      <c r="K2281"/>
      <c r="L2281"/>
      <c r="M2281"/>
      <c r="N2281"/>
      <c r="O2281"/>
      <c r="P2281"/>
      <c r="Q2281"/>
      <c r="R2281"/>
      <c r="S2281"/>
    </row>
    <row r="2282" spans="1:19" x14ac:dyDescent="0.25">
      <c r="A2282"/>
      <c r="B2282"/>
      <c r="C2282"/>
      <c r="D2282"/>
      <c r="E2282"/>
      <c r="F2282"/>
      <c r="G2282"/>
      <c r="H2282"/>
      <c r="I2282"/>
      <c r="J2282"/>
      <c r="K2282"/>
      <c r="L2282"/>
      <c r="M2282"/>
      <c r="N2282"/>
      <c r="O2282"/>
      <c r="P2282"/>
      <c r="Q2282"/>
      <c r="R2282"/>
      <c r="S2282"/>
    </row>
    <row r="2283" spans="1:19" x14ac:dyDescent="0.25">
      <c r="A2283"/>
      <c r="B2283"/>
      <c r="C2283"/>
      <c r="D2283"/>
      <c r="E2283"/>
      <c r="F2283"/>
      <c r="G2283"/>
      <c r="H2283"/>
      <c r="I2283"/>
      <c r="J2283"/>
      <c r="K2283"/>
      <c r="L2283"/>
      <c r="M2283"/>
      <c r="N2283"/>
      <c r="O2283"/>
      <c r="P2283"/>
      <c r="Q2283"/>
      <c r="R2283"/>
      <c r="S2283"/>
    </row>
    <row r="2284" spans="1:19" x14ac:dyDescent="0.25">
      <c r="A2284"/>
      <c r="B2284"/>
      <c r="C2284"/>
      <c r="D2284"/>
      <c r="E2284"/>
      <c r="F2284"/>
      <c r="G2284"/>
      <c r="H2284"/>
      <c r="I2284"/>
      <c r="J2284"/>
      <c r="K2284"/>
      <c r="L2284"/>
      <c r="M2284"/>
      <c r="N2284"/>
      <c r="O2284"/>
      <c r="P2284"/>
      <c r="Q2284"/>
      <c r="R2284"/>
      <c r="S2284"/>
    </row>
    <row r="2285" spans="1:19" x14ac:dyDescent="0.25">
      <c r="A2285"/>
      <c r="B2285"/>
      <c r="C2285"/>
      <c r="D2285"/>
      <c r="E2285"/>
      <c r="F2285"/>
      <c r="G2285"/>
      <c r="H2285"/>
      <c r="I2285"/>
      <c r="J2285"/>
      <c r="K2285"/>
      <c r="L2285"/>
      <c r="M2285"/>
      <c r="N2285"/>
      <c r="O2285"/>
      <c r="P2285"/>
      <c r="Q2285"/>
      <c r="R2285"/>
      <c r="S2285"/>
    </row>
    <row r="2286" spans="1:19" x14ac:dyDescent="0.25">
      <c r="A2286"/>
      <c r="B2286"/>
      <c r="C2286"/>
      <c r="D2286"/>
      <c r="E2286"/>
      <c r="F2286"/>
      <c r="G2286"/>
      <c r="H2286"/>
      <c r="I2286"/>
      <c r="J2286"/>
      <c r="K2286"/>
      <c r="L2286"/>
      <c r="M2286"/>
      <c r="N2286"/>
      <c r="O2286"/>
      <c r="P2286"/>
      <c r="Q2286"/>
      <c r="R2286"/>
      <c r="S2286"/>
    </row>
    <row r="2287" spans="1:19" x14ac:dyDescent="0.25">
      <c r="A2287"/>
      <c r="B2287"/>
      <c r="C2287"/>
      <c r="D2287"/>
      <c r="E2287"/>
      <c r="F2287"/>
      <c r="G2287"/>
      <c r="H2287"/>
      <c r="I2287"/>
      <c r="J2287"/>
      <c r="K2287"/>
      <c r="L2287"/>
      <c r="M2287"/>
      <c r="N2287"/>
      <c r="O2287"/>
      <c r="P2287"/>
      <c r="Q2287"/>
      <c r="R2287"/>
      <c r="S2287"/>
    </row>
    <row r="2288" spans="1:19" x14ac:dyDescent="0.25">
      <c r="A2288"/>
      <c r="B2288"/>
      <c r="C2288"/>
      <c r="D2288"/>
      <c r="E2288"/>
      <c r="F2288"/>
      <c r="G2288"/>
      <c r="H2288"/>
      <c r="I2288"/>
      <c r="J2288"/>
      <c r="K2288"/>
      <c r="L2288"/>
      <c r="M2288"/>
      <c r="N2288"/>
      <c r="O2288"/>
      <c r="P2288"/>
      <c r="Q2288"/>
      <c r="R2288"/>
      <c r="S2288"/>
    </row>
    <row r="2289" spans="1:19" x14ac:dyDescent="0.25">
      <c r="A2289"/>
      <c r="B2289"/>
      <c r="C2289"/>
      <c r="D2289"/>
      <c r="E2289"/>
      <c r="F2289"/>
      <c r="G2289"/>
      <c r="H2289"/>
      <c r="I2289"/>
      <c r="J2289"/>
      <c r="K2289"/>
      <c r="L2289"/>
      <c r="M2289"/>
      <c r="N2289"/>
      <c r="O2289"/>
      <c r="P2289"/>
      <c r="Q2289"/>
      <c r="R2289"/>
      <c r="S2289"/>
    </row>
    <row r="2290" spans="1:19" x14ac:dyDescent="0.25">
      <c r="A2290"/>
      <c r="B2290"/>
      <c r="C2290"/>
      <c r="D2290"/>
      <c r="E2290"/>
      <c r="F2290"/>
      <c r="G2290"/>
      <c r="H2290"/>
      <c r="I2290"/>
      <c r="J2290"/>
      <c r="K2290"/>
      <c r="L2290"/>
      <c r="M2290"/>
      <c r="N2290"/>
      <c r="O2290"/>
      <c r="P2290"/>
      <c r="Q2290"/>
      <c r="R2290"/>
      <c r="S2290"/>
    </row>
    <row r="2291" spans="1:19" x14ac:dyDescent="0.25">
      <c r="A2291"/>
      <c r="B2291"/>
      <c r="C2291"/>
      <c r="D2291"/>
      <c r="E2291"/>
      <c r="F2291"/>
      <c r="G2291"/>
      <c r="H2291"/>
      <c r="I2291"/>
      <c r="J2291"/>
      <c r="K2291"/>
      <c r="L2291"/>
      <c r="M2291"/>
      <c r="N2291"/>
      <c r="O2291"/>
      <c r="P2291"/>
      <c r="Q2291"/>
      <c r="R2291"/>
      <c r="S2291"/>
    </row>
    <row r="2292" spans="1:19" x14ac:dyDescent="0.25">
      <c r="A2292"/>
      <c r="B2292"/>
      <c r="C2292"/>
      <c r="D2292"/>
      <c r="E2292"/>
      <c r="F2292"/>
      <c r="G2292"/>
      <c r="H2292"/>
      <c r="I2292"/>
      <c r="J2292"/>
      <c r="K2292"/>
      <c r="L2292"/>
      <c r="M2292"/>
      <c r="N2292"/>
      <c r="O2292"/>
      <c r="P2292"/>
      <c r="Q2292"/>
      <c r="R2292"/>
      <c r="S2292"/>
    </row>
    <row r="2293" spans="1:19" x14ac:dyDescent="0.25">
      <c r="A2293"/>
      <c r="B2293"/>
      <c r="C2293"/>
      <c r="D2293"/>
      <c r="E2293"/>
      <c r="F2293"/>
      <c r="G2293"/>
      <c r="H2293"/>
      <c r="I2293"/>
      <c r="J2293"/>
      <c r="K2293"/>
      <c r="L2293"/>
      <c r="M2293"/>
      <c r="N2293"/>
      <c r="O2293"/>
      <c r="P2293"/>
      <c r="Q2293"/>
      <c r="R2293"/>
      <c r="S2293"/>
    </row>
    <row r="2294" spans="1:19" x14ac:dyDescent="0.25">
      <c r="A2294"/>
      <c r="B2294"/>
      <c r="C2294"/>
      <c r="D2294"/>
      <c r="E2294"/>
      <c r="F2294"/>
      <c r="G2294"/>
      <c r="H2294"/>
      <c r="I2294"/>
      <c r="J2294"/>
      <c r="K2294"/>
      <c r="L2294"/>
      <c r="M2294"/>
      <c r="N2294"/>
      <c r="O2294"/>
      <c r="P2294"/>
      <c r="Q2294"/>
      <c r="R2294"/>
      <c r="S2294"/>
    </row>
    <row r="2295" spans="1:19" x14ac:dyDescent="0.25">
      <c r="A2295"/>
      <c r="B2295"/>
      <c r="C2295"/>
      <c r="D2295"/>
      <c r="E2295"/>
      <c r="F2295"/>
      <c r="G2295"/>
      <c r="H2295"/>
      <c r="I2295"/>
      <c r="J2295"/>
      <c r="K2295"/>
      <c r="L2295"/>
      <c r="M2295"/>
      <c r="N2295"/>
      <c r="O2295"/>
      <c r="P2295"/>
      <c r="Q2295"/>
      <c r="R2295"/>
      <c r="S2295"/>
    </row>
    <row r="2296" spans="1:19" x14ac:dyDescent="0.25">
      <c r="A2296"/>
      <c r="B2296"/>
      <c r="C2296"/>
      <c r="D2296"/>
      <c r="E2296"/>
      <c r="F2296"/>
      <c r="G2296"/>
      <c r="H2296"/>
      <c r="I2296"/>
      <c r="J2296"/>
      <c r="K2296"/>
      <c r="L2296"/>
      <c r="M2296"/>
      <c r="N2296"/>
      <c r="O2296"/>
      <c r="P2296"/>
      <c r="Q2296"/>
      <c r="R2296"/>
      <c r="S2296"/>
    </row>
    <row r="2297" spans="1:19" x14ac:dyDescent="0.25">
      <c r="A2297"/>
      <c r="B2297"/>
      <c r="C2297"/>
      <c r="D2297"/>
      <c r="E2297"/>
      <c r="F2297"/>
      <c r="G2297"/>
      <c r="H2297"/>
      <c r="I2297"/>
      <c r="J2297"/>
      <c r="K2297"/>
      <c r="L2297"/>
      <c r="M2297"/>
      <c r="N2297"/>
      <c r="O2297"/>
      <c r="P2297"/>
      <c r="Q2297"/>
      <c r="R2297"/>
      <c r="S2297"/>
    </row>
    <row r="2298" spans="1:19" x14ac:dyDescent="0.25">
      <c r="A2298"/>
      <c r="B2298"/>
      <c r="C2298"/>
      <c r="D2298"/>
      <c r="E2298"/>
      <c r="F2298"/>
      <c r="G2298"/>
      <c r="H2298"/>
      <c r="I2298"/>
      <c r="J2298"/>
      <c r="K2298"/>
      <c r="L2298"/>
      <c r="M2298"/>
      <c r="N2298"/>
      <c r="O2298"/>
      <c r="P2298"/>
      <c r="Q2298"/>
      <c r="R2298"/>
      <c r="S2298"/>
    </row>
    <row r="2299" spans="1:19" x14ac:dyDescent="0.25">
      <c r="A2299"/>
      <c r="B2299"/>
      <c r="C2299"/>
      <c r="D2299"/>
      <c r="E2299"/>
      <c r="F2299"/>
      <c r="G2299"/>
      <c r="H2299"/>
      <c r="I2299"/>
      <c r="J2299"/>
      <c r="K2299"/>
      <c r="L2299"/>
      <c r="M2299"/>
      <c r="N2299"/>
      <c r="O2299"/>
      <c r="P2299"/>
      <c r="Q2299"/>
      <c r="R2299"/>
      <c r="S2299"/>
    </row>
    <row r="2300" spans="1:19" x14ac:dyDescent="0.25">
      <c r="A2300"/>
      <c r="B2300"/>
      <c r="C2300"/>
      <c r="D2300"/>
      <c r="E2300"/>
      <c r="F2300"/>
      <c r="G2300"/>
      <c r="H2300"/>
      <c r="I2300"/>
      <c r="J2300"/>
      <c r="K2300"/>
      <c r="L2300"/>
      <c r="M2300"/>
      <c r="N2300"/>
      <c r="O2300"/>
      <c r="P2300"/>
      <c r="Q2300"/>
      <c r="R2300"/>
      <c r="S2300"/>
    </row>
    <row r="2301" spans="1:19" x14ac:dyDescent="0.25">
      <c r="A2301"/>
      <c r="B2301"/>
      <c r="C2301"/>
      <c r="D2301"/>
      <c r="E2301"/>
      <c r="F2301"/>
      <c r="G2301"/>
      <c r="H2301"/>
      <c r="I2301"/>
      <c r="J2301"/>
      <c r="K2301"/>
      <c r="L2301"/>
      <c r="M2301"/>
      <c r="N2301"/>
      <c r="O2301"/>
      <c r="P2301"/>
      <c r="Q2301"/>
      <c r="R2301"/>
      <c r="S2301"/>
    </row>
    <row r="2302" spans="1:19" x14ac:dyDescent="0.25">
      <c r="A2302"/>
      <c r="B2302"/>
      <c r="C2302"/>
      <c r="D2302"/>
      <c r="E2302"/>
      <c r="F2302"/>
      <c r="G2302"/>
      <c r="H2302"/>
      <c r="I2302"/>
      <c r="J2302"/>
      <c r="K2302"/>
      <c r="L2302"/>
      <c r="M2302"/>
      <c r="N2302"/>
      <c r="O2302"/>
      <c r="P2302"/>
      <c r="Q2302"/>
      <c r="R2302"/>
      <c r="S2302"/>
    </row>
    <row r="2303" spans="1:19" x14ac:dyDescent="0.25">
      <c r="A2303"/>
      <c r="B2303"/>
      <c r="C2303"/>
      <c r="D2303"/>
      <c r="E2303"/>
      <c r="F2303"/>
      <c r="G2303"/>
      <c r="H2303"/>
      <c r="I2303"/>
      <c r="J2303"/>
      <c r="K2303"/>
      <c r="L2303"/>
      <c r="M2303"/>
      <c r="N2303"/>
      <c r="O2303"/>
      <c r="P2303"/>
      <c r="Q2303"/>
      <c r="R2303"/>
      <c r="S2303"/>
    </row>
    <row r="2304" spans="1:19" x14ac:dyDescent="0.25">
      <c r="A2304"/>
      <c r="B2304"/>
      <c r="C2304"/>
      <c r="D2304"/>
      <c r="E2304"/>
      <c r="F2304"/>
      <c r="G2304"/>
      <c r="H2304"/>
      <c r="I2304"/>
      <c r="J2304"/>
      <c r="K2304"/>
      <c r="L2304"/>
      <c r="M2304"/>
      <c r="N2304"/>
      <c r="O2304"/>
      <c r="P2304"/>
      <c r="Q2304"/>
      <c r="R2304"/>
      <c r="S2304"/>
    </row>
    <row r="2305" spans="1:19" x14ac:dyDescent="0.25">
      <c r="A2305"/>
      <c r="B2305"/>
      <c r="C2305"/>
      <c r="D2305"/>
      <c r="E2305"/>
      <c r="F2305"/>
      <c r="G2305"/>
      <c r="H2305"/>
      <c r="I2305"/>
      <c r="J2305"/>
      <c r="K2305"/>
      <c r="L2305"/>
      <c r="M2305"/>
      <c r="N2305"/>
      <c r="O2305"/>
      <c r="P2305"/>
      <c r="Q2305"/>
      <c r="R2305"/>
      <c r="S2305"/>
    </row>
    <row r="2306" spans="1:19" x14ac:dyDescent="0.25">
      <c r="A2306"/>
      <c r="B2306"/>
      <c r="C2306"/>
      <c r="D2306"/>
      <c r="E2306"/>
      <c r="F2306"/>
      <c r="G2306"/>
      <c r="H2306"/>
      <c r="I2306"/>
      <c r="J2306"/>
      <c r="K2306"/>
      <c r="L2306"/>
      <c r="M2306"/>
      <c r="N2306"/>
      <c r="O2306"/>
      <c r="P2306"/>
      <c r="Q2306"/>
      <c r="R2306"/>
      <c r="S2306"/>
    </row>
    <row r="2307" spans="1:19" x14ac:dyDescent="0.25">
      <c r="A2307"/>
      <c r="B2307"/>
      <c r="C2307"/>
      <c r="D2307"/>
      <c r="E2307"/>
      <c r="F2307"/>
      <c r="G2307"/>
      <c r="H2307"/>
      <c r="I2307"/>
      <c r="J2307"/>
      <c r="K2307"/>
      <c r="L2307"/>
      <c r="M2307"/>
      <c r="N2307"/>
      <c r="O2307"/>
      <c r="P2307"/>
      <c r="Q2307"/>
      <c r="R2307"/>
      <c r="S2307"/>
    </row>
    <row r="2308" spans="1:19" x14ac:dyDescent="0.25">
      <c r="A2308"/>
      <c r="B2308"/>
      <c r="C2308"/>
      <c r="D2308"/>
      <c r="E2308"/>
      <c r="F2308"/>
      <c r="G2308"/>
      <c r="H2308"/>
      <c r="I2308"/>
      <c r="J2308"/>
      <c r="K2308"/>
      <c r="L2308"/>
      <c r="M2308"/>
      <c r="N2308"/>
      <c r="O2308"/>
      <c r="P2308"/>
      <c r="Q2308"/>
      <c r="R2308"/>
      <c r="S2308"/>
    </row>
    <row r="2309" spans="1:19" x14ac:dyDescent="0.25">
      <c r="A2309"/>
      <c r="B2309"/>
      <c r="C2309"/>
      <c r="D2309"/>
      <c r="E2309"/>
      <c r="F2309"/>
      <c r="G2309"/>
      <c r="H2309"/>
      <c r="I2309"/>
      <c r="J2309"/>
      <c r="K2309"/>
      <c r="L2309"/>
      <c r="M2309"/>
      <c r="N2309"/>
      <c r="O2309"/>
      <c r="P2309"/>
      <c r="Q2309"/>
      <c r="R2309"/>
      <c r="S2309"/>
    </row>
    <row r="2310" spans="1:19" x14ac:dyDescent="0.25">
      <c r="A2310"/>
      <c r="B2310"/>
      <c r="C2310"/>
      <c r="D2310"/>
      <c r="E2310"/>
      <c r="F2310"/>
      <c r="G2310"/>
      <c r="H2310"/>
      <c r="I2310"/>
      <c r="J2310"/>
      <c r="K2310"/>
      <c r="L2310"/>
      <c r="M2310"/>
      <c r="N2310"/>
      <c r="O2310"/>
      <c r="P2310"/>
      <c r="Q2310"/>
      <c r="R2310"/>
      <c r="S2310"/>
    </row>
    <row r="2311" spans="1:19" x14ac:dyDescent="0.25">
      <c r="A2311"/>
      <c r="B2311"/>
      <c r="C2311"/>
      <c r="D2311"/>
      <c r="E2311"/>
      <c r="F2311"/>
      <c r="G2311"/>
      <c r="H2311"/>
      <c r="I2311"/>
      <c r="J2311"/>
      <c r="K2311"/>
      <c r="L2311"/>
      <c r="M2311"/>
      <c r="N2311"/>
      <c r="O2311"/>
      <c r="P2311"/>
      <c r="Q2311"/>
      <c r="R2311"/>
      <c r="S2311"/>
    </row>
    <row r="2312" spans="1:19" x14ac:dyDescent="0.25">
      <c r="A2312"/>
      <c r="B2312"/>
      <c r="C2312"/>
      <c r="D2312"/>
      <c r="E2312"/>
      <c r="F2312"/>
      <c r="G2312"/>
      <c r="H2312"/>
      <c r="I2312"/>
      <c r="J2312"/>
      <c r="K2312"/>
      <c r="L2312"/>
      <c r="M2312"/>
      <c r="N2312"/>
      <c r="O2312"/>
      <c r="P2312"/>
      <c r="Q2312"/>
      <c r="R2312"/>
      <c r="S2312"/>
    </row>
    <row r="2313" spans="1:19" x14ac:dyDescent="0.25">
      <c r="A2313"/>
      <c r="B2313"/>
      <c r="C2313"/>
      <c r="D2313"/>
      <c r="E2313"/>
      <c r="F2313"/>
      <c r="G2313"/>
      <c r="H2313"/>
      <c r="I2313"/>
      <c r="J2313"/>
      <c r="K2313"/>
      <c r="L2313"/>
      <c r="M2313"/>
      <c r="N2313"/>
      <c r="O2313"/>
      <c r="P2313"/>
      <c r="Q2313"/>
      <c r="R2313"/>
      <c r="S2313"/>
    </row>
    <row r="2314" spans="1:19" x14ac:dyDescent="0.25">
      <c r="A2314"/>
      <c r="B2314"/>
      <c r="C2314"/>
      <c r="D2314"/>
      <c r="E2314"/>
      <c r="F2314"/>
      <c r="G2314"/>
      <c r="H2314"/>
      <c r="I2314"/>
      <c r="J2314"/>
      <c r="K2314"/>
      <c r="L2314"/>
      <c r="M2314"/>
      <c r="N2314"/>
      <c r="O2314"/>
      <c r="P2314"/>
      <c r="Q2314"/>
      <c r="R2314"/>
      <c r="S2314"/>
    </row>
    <row r="2315" spans="1:19" x14ac:dyDescent="0.25">
      <c r="A2315"/>
      <c r="B2315"/>
      <c r="C2315"/>
      <c r="D2315"/>
      <c r="E2315"/>
      <c r="F2315"/>
      <c r="G2315"/>
      <c r="H2315"/>
      <c r="I2315"/>
      <c r="J2315"/>
      <c r="K2315"/>
      <c r="L2315"/>
      <c r="M2315"/>
      <c r="N2315"/>
      <c r="O2315"/>
      <c r="P2315"/>
      <c r="Q2315"/>
      <c r="R2315"/>
      <c r="S2315"/>
    </row>
    <row r="2316" spans="1:19" x14ac:dyDescent="0.25">
      <c r="A2316"/>
      <c r="B2316"/>
      <c r="C2316"/>
      <c r="D2316"/>
      <c r="E2316"/>
      <c r="F2316"/>
      <c r="G2316"/>
      <c r="H2316"/>
      <c r="I2316"/>
      <c r="J2316"/>
      <c r="K2316"/>
      <c r="L2316"/>
      <c r="M2316"/>
      <c r="N2316"/>
      <c r="O2316"/>
      <c r="P2316"/>
      <c r="Q2316"/>
      <c r="R2316"/>
      <c r="S2316"/>
    </row>
    <row r="2317" spans="1:19" x14ac:dyDescent="0.25">
      <c r="A2317"/>
      <c r="B2317"/>
      <c r="C2317"/>
      <c r="D2317"/>
      <c r="E2317"/>
      <c r="F2317"/>
      <c r="G2317"/>
      <c r="H2317"/>
      <c r="I2317"/>
      <c r="J2317"/>
      <c r="K2317"/>
      <c r="L2317"/>
      <c r="M2317"/>
      <c r="N2317"/>
      <c r="O2317"/>
      <c r="P2317"/>
      <c r="Q2317"/>
      <c r="R2317"/>
      <c r="S2317"/>
    </row>
    <row r="2318" spans="1:19" x14ac:dyDescent="0.25">
      <c r="A2318"/>
      <c r="B2318"/>
      <c r="C2318"/>
      <c r="D2318"/>
      <c r="E2318"/>
      <c r="F2318"/>
      <c r="G2318"/>
      <c r="H2318"/>
      <c r="I2318"/>
      <c r="J2318"/>
      <c r="K2318"/>
      <c r="L2318"/>
      <c r="M2318"/>
      <c r="N2318"/>
      <c r="O2318"/>
      <c r="P2318"/>
      <c r="Q2318"/>
      <c r="R2318"/>
      <c r="S2318"/>
    </row>
    <row r="2319" spans="1:19" x14ac:dyDescent="0.25">
      <c r="A2319"/>
      <c r="B2319"/>
      <c r="C2319"/>
      <c r="D2319"/>
      <c r="E2319"/>
      <c r="F2319"/>
      <c r="G2319"/>
      <c r="H2319"/>
      <c r="I2319"/>
      <c r="J2319"/>
      <c r="K2319"/>
      <c r="L2319"/>
      <c r="M2319"/>
      <c r="N2319"/>
      <c r="O2319"/>
      <c r="P2319"/>
      <c r="Q2319"/>
      <c r="R2319"/>
      <c r="S2319"/>
    </row>
    <row r="2320" spans="1:19" x14ac:dyDescent="0.25">
      <c r="A2320"/>
      <c r="B2320"/>
      <c r="C2320"/>
      <c r="D2320"/>
      <c r="E2320"/>
      <c r="F2320"/>
      <c r="G2320"/>
      <c r="H2320"/>
      <c r="I2320"/>
      <c r="J2320"/>
      <c r="K2320"/>
      <c r="L2320"/>
      <c r="M2320"/>
      <c r="N2320"/>
      <c r="O2320"/>
      <c r="P2320"/>
      <c r="Q2320"/>
      <c r="R2320"/>
      <c r="S2320"/>
    </row>
    <row r="2321" spans="1:19" x14ac:dyDescent="0.25">
      <c r="A2321"/>
      <c r="B2321"/>
      <c r="C2321"/>
      <c r="D2321"/>
      <c r="E2321"/>
      <c r="F2321"/>
      <c r="G2321"/>
      <c r="H2321"/>
      <c r="I2321"/>
      <c r="J2321"/>
      <c r="K2321"/>
      <c r="L2321"/>
      <c r="M2321"/>
      <c r="N2321"/>
      <c r="O2321"/>
      <c r="P2321"/>
      <c r="Q2321"/>
      <c r="R2321"/>
      <c r="S2321"/>
    </row>
    <row r="2322" spans="1:19" x14ac:dyDescent="0.25">
      <c r="A2322"/>
      <c r="B2322"/>
      <c r="C2322"/>
      <c r="D2322"/>
      <c r="E2322"/>
      <c r="F2322"/>
      <c r="G2322"/>
      <c r="H2322"/>
      <c r="I2322"/>
      <c r="J2322"/>
      <c r="K2322"/>
      <c r="L2322"/>
      <c r="M2322"/>
      <c r="N2322"/>
      <c r="O2322"/>
      <c r="P2322"/>
      <c r="Q2322"/>
      <c r="R2322"/>
      <c r="S2322"/>
    </row>
    <row r="2323" spans="1:19" x14ac:dyDescent="0.25">
      <c r="A2323"/>
      <c r="B2323"/>
      <c r="C2323"/>
      <c r="D2323"/>
      <c r="E2323"/>
      <c r="F2323"/>
      <c r="G2323"/>
      <c r="H2323"/>
      <c r="I2323"/>
      <c r="J2323"/>
      <c r="K2323"/>
      <c r="L2323"/>
      <c r="M2323"/>
      <c r="N2323"/>
      <c r="O2323"/>
      <c r="P2323"/>
      <c r="Q2323"/>
      <c r="R2323"/>
      <c r="S2323"/>
    </row>
    <row r="2324" spans="1:19" x14ac:dyDescent="0.25">
      <c r="A2324"/>
      <c r="B2324"/>
      <c r="C2324"/>
      <c r="D2324"/>
      <c r="E2324"/>
      <c r="F2324"/>
      <c r="G2324"/>
      <c r="H2324"/>
      <c r="I2324"/>
      <c r="J2324"/>
      <c r="K2324"/>
      <c r="L2324"/>
      <c r="M2324"/>
      <c r="N2324"/>
      <c r="O2324"/>
      <c r="P2324"/>
      <c r="Q2324"/>
      <c r="R2324"/>
      <c r="S2324"/>
    </row>
    <row r="2325" spans="1:19" x14ac:dyDescent="0.25">
      <c r="A2325"/>
      <c r="B2325"/>
      <c r="C2325"/>
      <c r="D2325"/>
      <c r="E2325"/>
      <c r="F2325"/>
      <c r="G2325"/>
      <c r="H2325"/>
      <c r="I2325"/>
      <c r="J2325"/>
      <c r="K2325"/>
      <c r="L2325"/>
      <c r="M2325"/>
      <c r="N2325"/>
      <c r="O2325"/>
      <c r="P2325"/>
      <c r="Q2325"/>
      <c r="R2325"/>
      <c r="S2325"/>
    </row>
    <row r="2326" spans="1:19" x14ac:dyDescent="0.25">
      <c r="A2326"/>
      <c r="B2326"/>
      <c r="C2326"/>
      <c r="D2326"/>
      <c r="E2326"/>
      <c r="F2326"/>
      <c r="G2326"/>
      <c r="H2326"/>
      <c r="I2326"/>
      <c r="J2326"/>
      <c r="K2326"/>
      <c r="L2326"/>
      <c r="M2326"/>
      <c r="N2326"/>
      <c r="O2326"/>
      <c r="P2326"/>
      <c r="Q2326"/>
      <c r="R2326"/>
      <c r="S2326"/>
    </row>
    <row r="2327" spans="1:19" x14ac:dyDescent="0.25">
      <c r="A2327"/>
      <c r="B2327"/>
      <c r="C2327"/>
      <c r="D2327"/>
      <c r="E2327"/>
      <c r="F2327"/>
      <c r="G2327"/>
      <c r="H2327"/>
      <c r="I2327"/>
      <c r="J2327"/>
      <c r="K2327"/>
      <c r="L2327"/>
      <c r="M2327"/>
      <c r="N2327"/>
      <c r="O2327"/>
      <c r="P2327"/>
      <c r="Q2327"/>
      <c r="R2327"/>
      <c r="S2327"/>
    </row>
    <row r="2328" spans="1:19" x14ac:dyDescent="0.25">
      <c r="A2328"/>
      <c r="B2328"/>
      <c r="C2328"/>
      <c r="D2328"/>
      <c r="E2328"/>
      <c r="F2328"/>
      <c r="G2328"/>
      <c r="H2328"/>
      <c r="I2328"/>
      <c r="J2328"/>
      <c r="K2328"/>
      <c r="L2328"/>
      <c r="M2328"/>
      <c r="N2328"/>
      <c r="O2328"/>
      <c r="P2328"/>
      <c r="Q2328"/>
      <c r="R2328"/>
      <c r="S2328"/>
    </row>
    <row r="2329" spans="1:19" x14ac:dyDescent="0.25">
      <c r="A2329"/>
      <c r="B2329"/>
      <c r="C2329"/>
      <c r="D2329"/>
      <c r="E2329"/>
      <c r="F2329"/>
      <c r="G2329"/>
      <c r="H2329"/>
      <c r="I2329"/>
      <c r="J2329"/>
      <c r="K2329"/>
      <c r="L2329"/>
      <c r="M2329"/>
      <c r="N2329"/>
      <c r="O2329"/>
      <c r="P2329"/>
      <c r="Q2329"/>
      <c r="R2329"/>
      <c r="S2329"/>
    </row>
    <row r="2330" spans="1:19" x14ac:dyDescent="0.25">
      <c r="A2330"/>
      <c r="B2330"/>
      <c r="C2330"/>
      <c r="D2330"/>
      <c r="E2330"/>
      <c r="F2330"/>
      <c r="G2330"/>
      <c r="H2330"/>
      <c r="I2330"/>
      <c r="J2330"/>
      <c r="K2330"/>
      <c r="L2330"/>
      <c r="M2330"/>
      <c r="N2330"/>
      <c r="O2330"/>
      <c r="P2330"/>
      <c r="Q2330"/>
      <c r="R2330"/>
      <c r="S2330"/>
    </row>
    <row r="2331" spans="1:19" x14ac:dyDescent="0.25">
      <c r="A2331"/>
      <c r="B2331"/>
      <c r="C2331"/>
      <c r="D2331"/>
      <c r="E2331"/>
      <c r="F2331"/>
      <c r="G2331"/>
      <c r="H2331"/>
      <c r="I2331"/>
      <c r="J2331"/>
      <c r="K2331"/>
      <c r="L2331"/>
      <c r="M2331"/>
      <c r="N2331"/>
      <c r="O2331"/>
      <c r="P2331"/>
      <c r="Q2331"/>
      <c r="R2331"/>
      <c r="S2331"/>
    </row>
    <row r="2332" spans="1:19" x14ac:dyDescent="0.25">
      <c r="A2332"/>
      <c r="B2332"/>
      <c r="C2332"/>
      <c r="D2332"/>
      <c r="E2332"/>
      <c r="F2332"/>
      <c r="G2332"/>
      <c r="H2332"/>
      <c r="I2332"/>
      <c r="J2332"/>
      <c r="K2332"/>
      <c r="L2332"/>
      <c r="M2332"/>
      <c r="N2332"/>
      <c r="O2332"/>
      <c r="P2332"/>
      <c r="Q2332"/>
      <c r="R2332"/>
      <c r="S2332"/>
    </row>
    <row r="2333" spans="1:19" x14ac:dyDescent="0.25">
      <c r="A2333"/>
      <c r="B2333"/>
      <c r="C2333"/>
      <c r="D2333"/>
      <c r="E2333"/>
      <c r="F2333"/>
      <c r="G2333"/>
      <c r="H2333"/>
      <c r="I2333"/>
      <c r="J2333"/>
      <c r="K2333"/>
      <c r="L2333"/>
      <c r="M2333"/>
      <c r="N2333"/>
      <c r="O2333"/>
      <c r="P2333"/>
      <c r="Q2333"/>
      <c r="R2333"/>
      <c r="S2333"/>
    </row>
    <row r="2334" spans="1:19" x14ac:dyDescent="0.25">
      <c r="A2334"/>
      <c r="B2334"/>
      <c r="C2334"/>
      <c r="D2334"/>
      <c r="E2334"/>
      <c r="F2334"/>
      <c r="G2334"/>
      <c r="H2334"/>
      <c r="I2334"/>
      <c r="J2334"/>
      <c r="K2334"/>
      <c r="L2334"/>
      <c r="M2334"/>
      <c r="N2334"/>
      <c r="O2334"/>
      <c r="P2334"/>
      <c r="Q2334"/>
      <c r="R2334"/>
      <c r="S2334"/>
    </row>
    <row r="2335" spans="1:19" x14ac:dyDescent="0.25">
      <c r="A2335"/>
      <c r="B2335"/>
      <c r="C2335"/>
      <c r="D2335"/>
      <c r="E2335"/>
      <c r="F2335"/>
      <c r="G2335"/>
      <c r="H2335"/>
      <c r="I2335"/>
      <c r="J2335"/>
      <c r="K2335"/>
      <c r="L2335"/>
      <c r="M2335"/>
      <c r="N2335"/>
      <c r="O2335"/>
      <c r="P2335"/>
      <c r="Q2335"/>
      <c r="R2335"/>
      <c r="S2335"/>
    </row>
    <row r="2336" spans="1:19" x14ac:dyDescent="0.25">
      <c r="A2336"/>
      <c r="B2336"/>
      <c r="C2336"/>
      <c r="D2336"/>
      <c r="E2336"/>
      <c r="F2336"/>
      <c r="G2336"/>
      <c r="H2336"/>
      <c r="I2336"/>
      <c r="J2336"/>
      <c r="K2336"/>
      <c r="L2336"/>
      <c r="M2336"/>
      <c r="N2336"/>
      <c r="O2336"/>
      <c r="P2336"/>
      <c r="Q2336"/>
      <c r="R2336"/>
      <c r="S2336"/>
    </row>
    <row r="2337" spans="1:19" x14ac:dyDescent="0.25">
      <c r="A2337"/>
      <c r="B2337"/>
      <c r="C2337"/>
      <c r="D2337"/>
      <c r="E2337"/>
      <c r="F2337"/>
      <c r="G2337"/>
      <c r="H2337"/>
      <c r="I2337"/>
      <c r="J2337"/>
      <c r="K2337"/>
      <c r="L2337"/>
      <c r="M2337"/>
      <c r="N2337"/>
      <c r="O2337"/>
      <c r="P2337"/>
      <c r="Q2337"/>
      <c r="R2337"/>
      <c r="S2337"/>
    </row>
    <row r="2338" spans="1:19" x14ac:dyDescent="0.25">
      <c r="A2338"/>
      <c r="B2338"/>
      <c r="C2338"/>
      <c r="D2338"/>
      <c r="E2338"/>
      <c r="F2338"/>
      <c r="G2338"/>
      <c r="H2338"/>
      <c r="I2338"/>
      <c r="J2338"/>
      <c r="K2338"/>
      <c r="L2338"/>
      <c r="M2338"/>
      <c r="N2338"/>
      <c r="O2338"/>
      <c r="P2338"/>
      <c r="Q2338"/>
      <c r="R2338"/>
      <c r="S2338"/>
    </row>
    <row r="2339" spans="1:19" x14ac:dyDescent="0.25">
      <c r="A2339"/>
      <c r="B2339"/>
      <c r="C2339"/>
      <c r="D2339"/>
      <c r="E2339"/>
      <c r="F2339"/>
      <c r="G2339"/>
      <c r="H2339"/>
      <c r="I2339"/>
      <c r="J2339"/>
      <c r="K2339"/>
      <c r="L2339"/>
      <c r="M2339"/>
      <c r="N2339"/>
      <c r="O2339"/>
      <c r="P2339"/>
      <c r="Q2339"/>
      <c r="R2339"/>
      <c r="S2339"/>
    </row>
    <row r="2340" spans="1:19" x14ac:dyDescent="0.25">
      <c r="A2340"/>
      <c r="B2340"/>
      <c r="C2340"/>
      <c r="D2340"/>
      <c r="E2340"/>
      <c r="F2340"/>
      <c r="G2340"/>
      <c r="H2340"/>
      <c r="I2340"/>
      <c r="J2340"/>
      <c r="K2340"/>
      <c r="L2340"/>
      <c r="M2340"/>
      <c r="N2340"/>
      <c r="O2340"/>
      <c r="P2340"/>
      <c r="Q2340"/>
      <c r="R2340"/>
      <c r="S2340"/>
    </row>
    <row r="2341" spans="1:19" x14ac:dyDescent="0.25">
      <c r="A2341"/>
      <c r="B2341"/>
      <c r="C2341"/>
      <c r="D2341"/>
      <c r="E2341"/>
      <c r="F2341"/>
      <c r="G2341"/>
      <c r="H2341"/>
      <c r="I2341"/>
      <c r="J2341"/>
      <c r="K2341"/>
      <c r="L2341"/>
      <c r="M2341"/>
      <c r="N2341"/>
      <c r="O2341"/>
      <c r="P2341"/>
      <c r="Q2341"/>
      <c r="R2341"/>
      <c r="S2341"/>
    </row>
    <row r="2342" spans="1:19" x14ac:dyDescent="0.25">
      <c r="A2342"/>
      <c r="B2342"/>
      <c r="C2342"/>
      <c r="D2342"/>
      <c r="E2342"/>
      <c r="F2342"/>
      <c r="G2342"/>
      <c r="H2342"/>
      <c r="I2342"/>
      <c r="J2342"/>
      <c r="K2342"/>
      <c r="L2342"/>
      <c r="M2342"/>
      <c r="N2342"/>
      <c r="O2342"/>
      <c r="P2342"/>
      <c r="Q2342"/>
      <c r="R2342"/>
      <c r="S2342"/>
    </row>
    <row r="2343" spans="1:19" x14ac:dyDescent="0.25">
      <c r="A2343"/>
      <c r="B2343"/>
      <c r="C2343"/>
      <c r="D2343"/>
      <c r="E2343"/>
      <c r="F2343"/>
      <c r="G2343"/>
      <c r="H2343"/>
      <c r="I2343"/>
      <c r="J2343"/>
      <c r="K2343"/>
      <c r="L2343"/>
      <c r="M2343"/>
      <c r="N2343"/>
      <c r="O2343"/>
      <c r="P2343"/>
      <c r="Q2343"/>
      <c r="R2343"/>
      <c r="S2343"/>
    </row>
    <row r="2344" spans="1:19" x14ac:dyDescent="0.25">
      <c r="A2344"/>
      <c r="B2344"/>
      <c r="C2344"/>
      <c r="D2344"/>
      <c r="E2344"/>
      <c r="F2344"/>
      <c r="G2344"/>
      <c r="H2344"/>
      <c r="I2344"/>
      <c r="J2344"/>
      <c r="K2344"/>
      <c r="L2344"/>
      <c r="M2344"/>
      <c r="N2344"/>
      <c r="O2344"/>
      <c r="P2344"/>
      <c r="Q2344"/>
      <c r="R2344"/>
      <c r="S2344"/>
    </row>
    <row r="2345" spans="1:19" x14ac:dyDescent="0.25">
      <c r="A2345"/>
      <c r="B2345"/>
      <c r="C2345"/>
      <c r="D2345"/>
      <c r="E2345"/>
      <c r="F2345"/>
      <c r="G2345"/>
      <c r="H2345"/>
      <c r="I2345"/>
      <c r="J2345"/>
      <c r="K2345"/>
      <c r="L2345"/>
      <c r="M2345"/>
      <c r="N2345"/>
      <c r="O2345"/>
      <c r="P2345"/>
      <c r="Q2345"/>
      <c r="R2345"/>
      <c r="S2345"/>
    </row>
    <row r="2346" spans="1:19" x14ac:dyDescent="0.25">
      <c r="A2346"/>
      <c r="B2346"/>
      <c r="C2346"/>
      <c r="D2346"/>
      <c r="E2346"/>
      <c r="F2346"/>
      <c r="G2346"/>
      <c r="H2346"/>
      <c r="I2346"/>
      <c r="J2346"/>
      <c r="K2346"/>
      <c r="L2346"/>
      <c r="M2346"/>
      <c r="N2346"/>
      <c r="O2346"/>
      <c r="P2346"/>
      <c r="Q2346"/>
      <c r="R2346"/>
      <c r="S2346"/>
    </row>
    <row r="2347" spans="1:19" x14ac:dyDescent="0.25">
      <c r="A2347"/>
      <c r="B2347"/>
      <c r="C2347"/>
      <c r="D2347"/>
      <c r="E2347"/>
      <c r="F2347"/>
      <c r="G2347"/>
      <c r="H2347"/>
      <c r="I2347"/>
      <c r="J2347"/>
      <c r="K2347"/>
      <c r="L2347"/>
      <c r="M2347"/>
      <c r="N2347"/>
      <c r="O2347"/>
      <c r="P2347"/>
      <c r="Q2347"/>
      <c r="R2347"/>
      <c r="S2347"/>
    </row>
  </sheetData>
  <mergeCells count="8">
    <mergeCell ref="B25:C25"/>
    <mergeCell ref="D25:I27"/>
    <mergeCell ref="B3:D3"/>
    <mergeCell ref="E3:L5"/>
    <mergeCell ref="B11:E11"/>
    <mergeCell ref="F11:L13"/>
    <mergeCell ref="B18:D18"/>
    <mergeCell ref="E18:L20"/>
  </mergeCells>
  <conditionalFormatting sqref="B81:B83">
    <cfRule type="duplicateValues" dxfId="426" priority="379"/>
  </conditionalFormatting>
  <conditionalFormatting sqref="B84:B89">
    <cfRule type="duplicateValues" dxfId="425" priority="378"/>
  </conditionalFormatting>
  <conditionalFormatting sqref="B90:B93">
    <cfRule type="duplicateValues" dxfId="424" priority="377"/>
  </conditionalFormatting>
  <conditionalFormatting sqref="B94:B98">
    <cfRule type="duplicateValues" dxfId="423" priority="376"/>
  </conditionalFormatting>
  <conditionalFormatting sqref="B99:B105">
    <cfRule type="duplicateValues" dxfId="422" priority="375"/>
  </conditionalFormatting>
  <conditionalFormatting sqref="B106:B112">
    <cfRule type="duplicateValues" dxfId="421" priority="374"/>
  </conditionalFormatting>
  <conditionalFormatting sqref="B113:B118">
    <cfRule type="duplicateValues" dxfId="420" priority="373"/>
  </conditionalFormatting>
  <conditionalFormatting sqref="B119:B124">
    <cfRule type="duplicateValues" dxfId="419" priority="372"/>
  </conditionalFormatting>
  <conditionalFormatting sqref="B125">
    <cfRule type="duplicateValues" dxfId="418" priority="371"/>
  </conditionalFormatting>
  <conditionalFormatting sqref="B126">
    <cfRule type="duplicateValues" dxfId="417" priority="370"/>
  </conditionalFormatting>
  <conditionalFormatting sqref="B127">
    <cfRule type="duplicateValues" dxfId="416" priority="369"/>
  </conditionalFormatting>
  <conditionalFormatting sqref="B128">
    <cfRule type="duplicateValues" dxfId="415" priority="368"/>
  </conditionalFormatting>
  <conditionalFormatting sqref="B129">
    <cfRule type="duplicateValues" dxfId="414" priority="367"/>
  </conditionalFormatting>
  <conditionalFormatting sqref="B130:B135">
    <cfRule type="duplicateValues" dxfId="413" priority="366"/>
  </conditionalFormatting>
  <conditionalFormatting sqref="B136:B143">
    <cfRule type="duplicateValues" dxfId="412" priority="365"/>
  </conditionalFormatting>
  <conditionalFormatting sqref="B172:B251">
    <cfRule type="duplicateValues" dxfId="411" priority="364"/>
  </conditionalFormatting>
  <conditionalFormatting sqref="B252">
    <cfRule type="duplicateValues" dxfId="410" priority="363"/>
  </conditionalFormatting>
  <conditionalFormatting sqref="B252">
    <cfRule type="duplicateValues" dxfId="409" priority="362"/>
  </conditionalFormatting>
  <conditionalFormatting sqref="C26">
    <cfRule type="duplicateValues" dxfId="408" priority="361"/>
  </conditionalFormatting>
  <conditionalFormatting sqref="C26">
    <cfRule type="duplicateValues" dxfId="407" priority="360"/>
  </conditionalFormatting>
  <conditionalFormatting sqref="B13">
    <cfRule type="duplicateValues" dxfId="406" priority="48"/>
  </conditionalFormatting>
  <conditionalFormatting sqref="C13">
    <cfRule type="containsText" dxfId="405" priority="47" operator="containsText" text="NON BANKING">
      <formula>NOT(ISERROR(SEARCH("NON BANKING",C13)))</formula>
    </cfRule>
  </conditionalFormatting>
  <conditionalFormatting sqref="E13">
    <cfRule type="containsText" dxfId="404" priority="46" operator="containsText" text="NON BANKING">
      <formula>NOT(ISERROR(SEARCH("NON BANKING",E13)))</formula>
    </cfRule>
  </conditionalFormatting>
  <conditionalFormatting sqref="B20">
    <cfRule type="duplicateValues" dxfId="403" priority="44"/>
    <cfRule type="duplicateValues" dxfId="402" priority="45"/>
  </conditionalFormatting>
  <conditionalFormatting sqref="C20">
    <cfRule type="containsText" dxfId="401" priority="43" operator="containsText" text="NON BANKING">
      <formula>NOT(ISERROR(SEARCH("NON BANKING",C20)))</formula>
    </cfRule>
  </conditionalFormatting>
  <conditionalFormatting sqref="B5">
    <cfRule type="duplicateValues" dxfId="398" priority="7"/>
    <cfRule type="duplicateValues" dxfId="397" priority="8"/>
  </conditionalFormatting>
  <conditionalFormatting sqref="C5">
    <cfRule type="containsText" dxfId="396" priority="6" operator="containsText" text="NON BANKING">
      <formula>NOT(ISERROR(SEARCH("NON BANKING",C5)))</formula>
    </cfRule>
  </conditionalFormatting>
  <conditionalFormatting sqref="B27">
    <cfRule type="duplicateValues" dxfId="9" priority="1"/>
    <cfRule type="duplicateValues" dxfId="8" priority="2"/>
    <cfRule type="duplicateValues" dxfId="7" priority="3"/>
    <cfRule type="duplicateValues" dxfId="6" priority="4"/>
    <cfRule type="duplicateValues" dxfId="5" priority="5"/>
  </conditionalFormatting>
  <dataValidations count="2">
    <dataValidation type="list" allowBlank="1" showInputMessage="1" showErrorMessage="1" sqref="E13 C20 C5">
      <formula1>INDIRECT(B5)</formula1>
    </dataValidation>
    <dataValidation type="list" allowBlank="1" showInputMessage="1" showErrorMessage="1" sqref="J81:J252">
      <formula1>$T$2:$T$13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fCopy">
                <anchor moveWithCells="1" sizeWithCells="1">
                  <from>
                    <xdr:col>2</xdr:col>
                    <xdr:colOff>962025</xdr:colOff>
                    <xdr:row>30</xdr:row>
                    <xdr:rowOff>47625</xdr:rowOff>
                  </from>
                  <to>
                    <xdr:col>4</xdr:col>
                    <xdr:colOff>723900</xdr:colOff>
                    <xdr:row>35</xdr:row>
                    <xdr:rowOff>123825</xdr:rowOff>
                  </to>
                </anchor>
              </controlPr>
            </control>
          </mc:Choice>
        </mc:AlternateContent>
        <mc:AlternateContent xmlns:mc="http://schemas.openxmlformats.org/markup-compatibility/2006">
          <mc:Choice Requires="x14">
            <control shapeId="2050" r:id="rId5" name="Button 2">
              <controlPr defaultSize="0" print="0" autoFill="0" autoPict="0">
                <anchor moveWithCells="1" sizeWithCells="1">
                  <from>
                    <xdr:col>4</xdr:col>
                    <xdr:colOff>304800</xdr:colOff>
                    <xdr:row>2</xdr:row>
                    <xdr:rowOff>85725</xdr:rowOff>
                  </from>
                  <to>
                    <xdr:col>6</xdr:col>
                    <xdr:colOff>66675</xdr:colOff>
                    <xdr:row>4</xdr:row>
                    <xdr:rowOff>123825</xdr:rowOff>
                  </to>
                </anchor>
              </controlPr>
            </control>
          </mc:Choice>
        </mc:AlternateContent>
        <mc:AlternateContent xmlns:mc="http://schemas.openxmlformats.org/markup-compatibility/2006">
          <mc:Choice Requires="x14">
            <control shapeId="2051" r:id="rId6" name="Button 3">
              <controlPr defaultSize="0" print="0" autoFill="0" autoPict="0">
                <anchor moveWithCells="1" sizeWithCells="1">
                  <from>
                    <xdr:col>5</xdr:col>
                    <xdr:colOff>323850</xdr:colOff>
                    <xdr:row>10</xdr:row>
                    <xdr:rowOff>57150</xdr:rowOff>
                  </from>
                  <to>
                    <xdr:col>7</xdr:col>
                    <xdr:colOff>371475</xdr:colOff>
                    <xdr:row>12</xdr:row>
                    <xdr:rowOff>152400</xdr:rowOff>
                  </to>
                </anchor>
              </controlPr>
            </control>
          </mc:Choice>
        </mc:AlternateContent>
        <mc:AlternateContent xmlns:mc="http://schemas.openxmlformats.org/markup-compatibility/2006">
          <mc:Choice Requires="x14">
            <control shapeId="2052" r:id="rId7" name="Button 4">
              <controlPr defaultSize="0" print="0" autoFill="0" autoPict="0">
                <anchor moveWithCells="1" sizeWithCells="1">
                  <from>
                    <xdr:col>3</xdr:col>
                    <xdr:colOff>323850</xdr:colOff>
                    <xdr:row>24</xdr:row>
                    <xdr:rowOff>85725</xdr:rowOff>
                  </from>
                  <to>
                    <xdr:col>4</xdr:col>
                    <xdr:colOff>657225</xdr:colOff>
                    <xdr:row>26</xdr:row>
                    <xdr:rowOff>142875</xdr:rowOff>
                  </to>
                </anchor>
              </controlPr>
            </control>
          </mc:Choice>
        </mc:AlternateContent>
        <mc:AlternateContent xmlns:mc="http://schemas.openxmlformats.org/markup-compatibility/2006">
          <mc:Choice Requires="x14">
            <control shapeId="2053" r:id="rId8" name="Button 5">
              <controlPr defaultSize="0" print="0" autoFill="0" autoPict="0">
                <anchor moveWithCells="1" sizeWithCells="1">
                  <from>
                    <xdr:col>6</xdr:col>
                    <xdr:colOff>371475</xdr:colOff>
                    <xdr:row>2</xdr:row>
                    <xdr:rowOff>114300</xdr:rowOff>
                  </from>
                  <to>
                    <xdr:col>8</xdr:col>
                    <xdr:colOff>428625</xdr:colOff>
                    <xdr:row>4</xdr:row>
                    <xdr:rowOff>114300</xdr:rowOff>
                  </to>
                </anchor>
              </controlPr>
            </control>
          </mc:Choice>
        </mc:AlternateContent>
        <mc:AlternateContent xmlns:mc="http://schemas.openxmlformats.org/markup-compatibility/2006">
          <mc:Choice Requires="x14">
            <control shapeId="2054" r:id="rId9" name="Button 6">
              <controlPr defaultSize="0" print="0" autoFill="0" autoPict="0">
                <anchor moveWithCells="1" sizeWithCells="1">
                  <from>
                    <xdr:col>9</xdr:col>
                    <xdr:colOff>57150</xdr:colOff>
                    <xdr:row>2</xdr:row>
                    <xdr:rowOff>123825</xdr:rowOff>
                  </from>
                  <to>
                    <xdr:col>11</xdr:col>
                    <xdr:colOff>47625</xdr:colOff>
                    <xdr:row>4</xdr:row>
                    <xdr:rowOff>114300</xdr:rowOff>
                  </to>
                </anchor>
              </controlPr>
            </control>
          </mc:Choice>
        </mc:AlternateContent>
        <mc:AlternateContent xmlns:mc="http://schemas.openxmlformats.org/markup-compatibility/2006">
          <mc:Choice Requires="x14">
            <control shapeId="2055" r:id="rId10" name="Button 7">
              <controlPr defaultSize="0" print="0" autoFill="0" autoPict="0">
                <anchor moveWithCells="1" sizeWithCells="1">
                  <from>
                    <xdr:col>7</xdr:col>
                    <xdr:colOff>571500</xdr:colOff>
                    <xdr:row>10</xdr:row>
                    <xdr:rowOff>76200</xdr:rowOff>
                  </from>
                  <to>
                    <xdr:col>9</xdr:col>
                    <xdr:colOff>514350</xdr:colOff>
                    <xdr:row>12</xdr:row>
                    <xdr:rowOff>123825</xdr:rowOff>
                  </to>
                </anchor>
              </controlPr>
            </control>
          </mc:Choice>
        </mc:AlternateContent>
        <mc:AlternateContent xmlns:mc="http://schemas.openxmlformats.org/markup-compatibility/2006">
          <mc:Choice Requires="x14">
            <control shapeId="2056" r:id="rId11" name="Button 8">
              <controlPr defaultSize="0" print="0" autoFill="0" autoPict="0">
                <anchor moveWithCells="1" sizeWithCells="1">
                  <from>
                    <xdr:col>10</xdr:col>
                    <xdr:colOff>114300</xdr:colOff>
                    <xdr:row>10</xdr:row>
                    <xdr:rowOff>85725</xdr:rowOff>
                  </from>
                  <to>
                    <xdr:col>11</xdr:col>
                    <xdr:colOff>533400</xdr:colOff>
                    <xdr:row>12</xdr:row>
                    <xdr:rowOff>104775</xdr:rowOff>
                  </to>
                </anchor>
              </controlPr>
            </control>
          </mc:Choice>
        </mc:AlternateContent>
        <mc:AlternateContent xmlns:mc="http://schemas.openxmlformats.org/markup-compatibility/2006">
          <mc:Choice Requires="x14">
            <control shapeId="2057" r:id="rId12" name="Button 9">
              <controlPr defaultSize="0" print="0" autoFill="0" autoPict="0">
                <anchor moveWithCells="1" sizeWithCells="1">
                  <from>
                    <xdr:col>4</xdr:col>
                    <xdr:colOff>323850</xdr:colOff>
                    <xdr:row>17</xdr:row>
                    <xdr:rowOff>85725</xdr:rowOff>
                  </from>
                  <to>
                    <xdr:col>6</xdr:col>
                    <xdr:colOff>238125</xdr:colOff>
                    <xdr:row>19</xdr:row>
                    <xdr:rowOff>85725</xdr:rowOff>
                  </to>
                </anchor>
              </controlPr>
            </control>
          </mc:Choice>
        </mc:AlternateContent>
        <mc:AlternateContent xmlns:mc="http://schemas.openxmlformats.org/markup-compatibility/2006">
          <mc:Choice Requires="x14">
            <control shapeId="2058" r:id="rId13" name="Button 10">
              <controlPr defaultSize="0" print="0" autoFill="0" autoPict="0">
                <anchor moveWithCells="1" sizeWithCells="1">
                  <from>
                    <xdr:col>6</xdr:col>
                    <xdr:colOff>514350</xdr:colOff>
                    <xdr:row>17</xdr:row>
                    <xdr:rowOff>152400</xdr:rowOff>
                  </from>
                  <to>
                    <xdr:col>9</xdr:col>
                    <xdr:colOff>66675</xdr:colOff>
                    <xdr:row>19</xdr:row>
                    <xdr:rowOff>104775</xdr:rowOff>
                  </to>
                </anchor>
              </controlPr>
            </control>
          </mc:Choice>
        </mc:AlternateContent>
        <mc:AlternateContent xmlns:mc="http://schemas.openxmlformats.org/markup-compatibility/2006">
          <mc:Choice Requires="x14">
            <control shapeId="2059" r:id="rId14" name="Button 11">
              <controlPr defaultSize="0" print="0" autoFill="0" autoPict="0">
                <anchor moveWithCells="1" sizeWithCells="1">
                  <from>
                    <xdr:col>9</xdr:col>
                    <xdr:colOff>314325</xdr:colOff>
                    <xdr:row>17</xdr:row>
                    <xdr:rowOff>123825</xdr:rowOff>
                  </from>
                  <to>
                    <xdr:col>11</xdr:col>
                    <xdr:colOff>447675</xdr:colOff>
                    <xdr:row>19</xdr:row>
                    <xdr:rowOff>133350</xdr:rowOff>
                  </to>
                </anchor>
              </controlPr>
            </control>
          </mc:Choice>
        </mc:AlternateContent>
        <mc:AlternateContent xmlns:mc="http://schemas.openxmlformats.org/markup-compatibility/2006">
          <mc:Choice Requires="x14">
            <control shapeId="2060" r:id="rId15" name="Button 12">
              <controlPr defaultSize="0" print="0" autoFill="0" autoPict="0">
                <anchor moveWithCells="1" sizeWithCells="1">
                  <from>
                    <xdr:col>5</xdr:col>
                    <xdr:colOff>57150</xdr:colOff>
                    <xdr:row>24</xdr:row>
                    <xdr:rowOff>85725</xdr:rowOff>
                  </from>
                  <to>
                    <xdr:col>7</xdr:col>
                    <xdr:colOff>361950</xdr:colOff>
                    <xdr:row>26</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T500"/>
  <sheetViews>
    <sheetView tabSelected="1" zoomScale="55" zoomScaleNormal="55" workbookViewId="0">
      <pane ySplit="7" topLeftCell="A8" activePane="bottomLeft" state="frozen"/>
      <selection pane="bottomLeft" activeCell="A8" sqref="A8"/>
    </sheetView>
  </sheetViews>
  <sheetFormatPr defaultRowHeight="15" x14ac:dyDescent="0.25"/>
  <cols>
    <col min="1" max="1" width="21" style="139" customWidth="1"/>
    <col min="2" max="2" width="22.85546875" style="15" customWidth="1"/>
    <col min="3" max="3" width="23" bestFit="1" customWidth="1"/>
    <col min="4" max="4" width="25" customWidth="1"/>
    <col min="5" max="5" width="18.42578125" customWidth="1"/>
    <col min="6" max="6" width="29.42578125" customWidth="1"/>
    <col min="7" max="7" width="24.5703125" customWidth="1"/>
    <col min="8" max="8" width="20.85546875" bestFit="1" customWidth="1"/>
    <col min="9" max="9" width="9.5703125" customWidth="1"/>
    <col min="10" max="10" width="15.7109375" customWidth="1"/>
    <col min="11" max="11" width="16.42578125" style="139" customWidth="1"/>
    <col min="12" max="12" width="21.28515625" customWidth="1"/>
    <col min="13" max="13" width="20.7109375" customWidth="1"/>
    <col min="14" max="14" width="18.28515625" customWidth="1"/>
    <col min="15" max="15" width="38" customWidth="1"/>
    <col min="16" max="16" width="47" bestFit="1" customWidth="1"/>
    <col min="17" max="17" width="20.85546875" customWidth="1"/>
    <col min="19" max="19" width="19" customWidth="1"/>
    <col min="20" max="20" width="28.7109375" customWidth="1"/>
    <col min="21" max="21" width="17.7109375" customWidth="1"/>
    <col min="22" max="22" width="19" customWidth="1"/>
    <col min="24" max="24" width="18.28515625" customWidth="1"/>
    <col min="25" max="25" width="17.140625" customWidth="1"/>
    <col min="26" max="26" width="27" customWidth="1"/>
    <col min="27" max="27" width="24.140625" customWidth="1"/>
    <col min="28" max="28" width="39.42578125" customWidth="1"/>
    <col min="30" max="30" width="10.140625" customWidth="1"/>
    <col min="32" max="32" width="13.5703125" customWidth="1"/>
    <col min="33" max="33" width="9.5703125" customWidth="1"/>
    <col min="34" max="34" width="16.7109375" customWidth="1"/>
    <col min="36" max="36" width="13.5703125" bestFit="1" customWidth="1"/>
    <col min="37" max="37" width="10.7109375" bestFit="1" customWidth="1"/>
    <col min="38" max="38" width="16.85546875" bestFit="1" customWidth="1"/>
    <col min="39" max="39" width="13.5703125" bestFit="1" customWidth="1"/>
    <col min="40" max="40" width="10.7109375" bestFit="1" customWidth="1"/>
    <col min="41" max="41" width="16.85546875" bestFit="1" customWidth="1"/>
    <col min="46" max="51" width="0" hidden="1" customWidth="1"/>
    <col min="52" max="52" width="20.7109375" hidden="1" customWidth="1"/>
    <col min="53" max="53" width="22.28515625" hidden="1" customWidth="1"/>
    <col min="54" max="54" width="20.7109375" hidden="1" customWidth="1"/>
    <col min="55" max="55" width="11.5703125" hidden="1" customWidth="1"/>
    <col min="56" max="56" width="16.28515625" hidden="1" customWidth="1"/>
    <col min="57" max="57" width="0" hidden="1" customWidth="1"/>
    <col min="72" max="72" width="11" bestFit="1" customWidth="1"/>
  </cols>
  <sheetData>
    <row r="1" spans="1:72" s="15" customFormat="1" ht="24" customHeight="1" thickBot="1" x14ac:dyDescent="0.3">
      <c r="A1" s="1" t="s">
        <v>0</v>
      </c>
      <c r="B1" s="2"/>
      <c r="C1" s="2"/>
      <c r="D1" s="148"/>
      <c r="E1" s="4" t="s">
        <v>1</v>
      </c>
      <c r="F1" s="5" t="s">
        <v>2</v>
      </c>
      <c r="G1" s="6" t="s">
        <v>3</v>
      </c>
      <c r="H1" s="6" t="s">
        <v>4</v>
      </c>
      <c r="I1" s="2"/>
      <c r="J1" s="7" t="s">
        <v>5</v>
      </c>
      <c r="K1" s="2"/>
      <c r="L1" s="4" t="s">
        <v>1</v>
      </c>
      <c r="M1" s="4" t="s">
        <v>2</v>
      </c>
      <c r="N1" s="2"/>
      <c r="O1" s="8" t="s">
        <v>6</v>
      </c>
      <c r="P1" s="2"/>
      <c r="Q1" s="9"/>
      <c r="R1" s="2"/>
      <c r="S1" s="10" t="s">
        <v>7</v>
      </c>
      <c r="T1" s="11"/>
      <c r="U1" s="12"/>
      <c r="V1" s="13"/>
      <c r="W1" s="2"/>
      <c r="X1" s="10" t="s">
        <v>8</v>
      </c>
      <c r="Y1" s="2"/>
      <c r="Z1" s="2"/>
      <c r="AA1" s="2"/>
      <c r="AB1" s="2"/>
      <c r="AC1" s="2"/>
      <c r="AD1" s="2"/>
      <c r="AE1" s="2"/>
      <c r="AF1" s="2"/>
      <c r="AG1" s="2"/>
      <c r="AH1" s="2"/>
      <c r="AI1" s="2"/>
      <c r="AJ1" s="10" t="s">
        <v>9</v>
      </c>
      <c r="AK1" s="2"/>
      <c r="AL1" s="2"/>
      <c r="AX1" s="132" t="s">
        <v>81</v>
      </c>
      <c r="AZ1" s="15" t="s">
        <v>10</v>
      </c>
      <c r="BA1" s="15" t="s">
        <v>11</v>
      </c>
      <c r="BB1" s="15" t="s">
        <v>12</v>
      </c>
      <c r="BC1" s="15" t="s">
        <v>13</v>
      </c>
      <c r="BD1" s="15" t="s">
        <v>14</v>
      </c>
      <c r="BE1" s="15" t="s">
        <v>15</v>
      </c>
      <c r="BT1" s="79">
        <v>43743.534560185188</v>
      </c>
    </row>
    <row r="2" spans="1:72" s="15" customFormat="1" ht="27" customHeight="1" thickBot="1" x14ac:dyDescent="0.45">
      <c r="A2" s="16"/>
      <c r="B2" s="2"/>
      <c r="C2" s="2"/>
      <c r="D2" s="3"/>
      <c r="E2" s="17" t="s">
        <v>16</v>
      </c>
      <c r="F2" s="18">
        <f>COUNTA(A8:A344)</f>
        <v>0</v>
      </c>
      <c r="G2" s="19">
        <f>F3</f>
        <v>0</v>
      </c>
      <c r="H2" s="19">
        <f>F4</f>
        <v>0</v>
      </c>
      <c r="I2" s="2"/>
      <c r="J2" s="2"/>
      <c r="K2" s="14"/>
      <c r="L2" s="17" t="s">
        <v>17</v>
      </c>
      <c r="M2" s="20">
        <f>COUNTA(K8:K352)</f>
        <v>0</v>
      </c>
      <c r="N2" s="21" t="s">
        <v>18</v>
      </c>
      <c r="O2" s="22" t="s">
        <v>19</v>
      </c>
      <c r="P2" s="2"/>
      <c r="Q2" s="9"/>
      <c r="R2" s="2"/>
      <c r="S2" s="2"/>
      <c r="T2" s="12"/>
      <c r="U2" s="12"/>
      <c r="V2" s="13"/>
      <c r="W2" s="2"/>
      <c r="X2" s="2"/>
      <c r="Y2" s="2"/>
      <c r="Z2" s="2"/>
      <c r="AA2" s="2"/>
      <c r="AB2" s="2"/>
      <c r="AC2" s="2"/>
      <c r="AD2" s="2"/>
      <c r="AE2" s="2"/>
      <c r="AF2" s="2"/>
      <c r="AG2" s="2"/>
      <c r="AH2" s="2"/>
      <c r="AI2" s="2"/>
      <c r="AJ2" s="2"/>
      <c r="AK2" s="2"/>
      <c r="AL2" s="2"/>
      <c r="AT2" s="15" t="s">
        <v>86</v>
      </c>
      <c r="AU2" s="15" t="s">
        <v>20</v>
      </c>
      <c r="AX2" s="132" t="s">
        <v>80</v>
      </c>
      <c r="AZ2" s="15" t="s">
        <v>12</v>
      </c>
      <c r="BA2" t="s">
        <v>21</v>
      </c>
      <c r="BB2" s="15" t="s">
        <v>22</v>
      </c>
      <c r="BC2" s="15" t="s">
        <v>23</v>
      </c>
      <c r="BD2" s="15" t="s">
        <v>24</v>
      </c>
    </row>
    <row r="3" spans="1:72" s="15" customFormat="1" ht="25.5" customHeight="1" thickBot="1" x14ac:dyDescent="0.45">
      <c r="A3" s="2"/>
      <c r="B3" s="23" t="s">
        <v>25</v>
      </c>
      <c r="C3" s="2"/>
      <c r="D3" s="163"/>
      <c r="E3" s="17" t="s">
        <v>26</v>
      </c>
      <c r="F3" s="18">
        <f>COUNTA(H8:H344)</f>
        <v>0</v>
      </c>
      <c r="G3" s="2"/>
      <c r="H3" s="24"/>
      <c r="I3" s="2"/>
      <c r="J3" s="2"/>
      <c r="K3" s="14"/>
      <c r="L3" s="17" t="s">
        <v>26</v>
      </c>
      <c r="M3" s="20">
        <f>COUNTIF(J8:J352,"√")</f>
        <v>1</v>
      </c>
      <c r="N3" s="25" t="s">
        <v>27</v>
      </c>
      <c r="O3" s="22" t="s">
        <v>28</v>
      </c>
      <c r="P3" s="2"/>
      <c r="Q3" s="26"/>
      <c r="R3" s="2"/>
      <c r="S3" s="2"/>
      <c r="T3" s="27" t="s">
        <v>29</v>
      </c>
      <c r="U3" s="28"/>
      <c r="V3" s="13"/>
      <c r="W3" s="2"/>
      <c r="X3" s="2"/>
      <c r="Y3" s="2"/>
      <c r="Z3" s="29"/>
      <c r="AA3" s="2"/>
      <c r="AB3" s="2"/>
      <c r="AC3" s="2"/>
      <c r="AD3" s="2"/>
      <c r="AE3" s="2"/>
      <c r="AF3" s="2"/>
      <c r="AG3" s="2"/>
      <c r="AH3" s="2"/>
      <c r="AI3" s="2"/>
      <c r="AJ3" s="2"/>
      <c r="AK3" s="2"/>
      <c r="AL3" s="2"/>
      <c r="AZ3" s="15" t="s">
        <v>15</v>
      </c>
      <c r="BA3" t="s">
        <v>30</v>
      </c>
      <c r="BB3" s="15" t="s">
        <v>31</v>
      </c>
      <c r="BC3" s="15" t="s">
        <v>32</v>
      </c>
    </row>
    <row r="4" spans="1:72" s="15" customFormat="1" ht="27" thickBot="1" x14ac:dyDescent="0.45">
      <c r="A4" s="30"/>
      <c r="B4" s="31" t="s">
        <v>33</v>
      </c>
      <c r="C4" s="2"/>
      <c r="D4" s="3"/>
      <c r="E4" s="17" t="s">
        <v>34</v>
      </c>
      <c r="F4" s="20">
        <f>F2-F3</f>
        <v>0</v>
      </c>
      <c r="G4" s="32"/>
      <c r="H4" s="33" t="str">
        <f>LEFT(AT2,FIND(" ",AT2)-1)</f>
        <v>27</v>
      </c>
      <c r="I4" s="2"/>
      <c r="J4" s="34"/>
      <c r="K4" s="35"/>
      <c r="L4" s="17" t="s">
        <v>34</v>
      </c>
      <c r="M4" s="20">
        <f>M2-M3</f>
        <v>-1</v>
      </c>
      <c r="N4" s="25" t="s">
        <v>84</v>
      </c>
      <c r="O4" s="164" t="s">
        <v>87</v>
      </c>
      <c r="P4" s="2"/>
      <c r="Q4" s="36"/>
      <c r="R4" s="37"/>
      <c r="S4" s="2"/>
      <c r="T4" s="173" t="s">
        <v>35</v>
      </c>
      <c r="U4" s="173" t="s">
        <v>36</v>
      </c>
      <c r="V4" s="13"/>
      <c r="W4" s="2"/>
      <c r="X4" s="2"/>
      <c r="Y4" s="2"/>
      <c r="Z4" s="2"/>
      <c r="AA4" s="2"/>
      <c r="AB4" s="2"/>
      <c r="AC4" s="2"/>
      <c r="AD4" s="2"/>
      <c r="AE4" s="2"/>
      <c r="AF4" s="2"/>
      <c r="AG4" s="2"/>
      <c r="AH4" s="2"/>
      <c r="AI4" s="2"/>
      <c r="AJ4" s="2"/>
      <c r="AK4" s="2"/>
      <c r="AL4" s="2"/>
      <c r="AZ4" s="15" t="s">
        <v>13</v>
      </c>
      <c r="BA4" t="s">
        <v>37</v>
      </c>
      <c r="BB4" s="15" t="s">
        <v>82</v>
      </c>
    </row>
    <row r="5" spans="1:72" s="15" customFormat="1" ht="20.25" customHeight="1" x14ac:dyDescent="0.25">
      <c r="A5" s="2"/>
      <c r="B5" s="2"/>
      <c r="C5" s="2"/>
      <c r="D5" s="2"/>
      <c r="E5" s="2"/>
      <c r="F5" s="2"/>
      <c r="G5" s="2"/>
      <c r="H5" s="2"/>
      <c r="I5" s="2"/>
      <c r="J5" s="34"/>
      <c r="K5" s="2"/>
      <c r="L5" s="2"/>
      <c r="M5" s="2"/>
      <c r="N5" s="25" t="s">
        <v>33</v>
      </c>
      <c r="O5" s="2"/>
      <c r="P5" s="2"/>
      <c r="Q5" s="26"/>
      <c r="R5" s="2"/>
      <c r="S5" s="2"/>
      <c r="T5" s="38">
        <v>43650</v>
      </c>
      <c r="U5" s="28">
        <f>T5-(DATE(YEAR(T5),1,0))</f>
        <v>185</v>
      </c>
      <c r="V5" s="13"/>
      <c r="W5" s="2"/>
      <c r="X5" s="2"/>
      <c r="Y5" s="2"/>
      <c r="Z5" s="2"/>
      <c r="AA5" s="2"/>
      <c r="AB5" s="2"/>
      <c r="AC5" s="2"/>
      <c r="AD5" s="2"/>
      <c r="AE5" s="2"/>
      <c r="AF5" s="2"/>
      <c r="AG5" s="2"/>
      <c r="AH5" s="2"/>
      <c r="AI5" s="2"/>
      <c r="AJ5" s="2"/>
      <c r="AK5" s="2"/>
      <c r="AL5" s="2"/>
      <c r="AZ5" s="15" t="s">
        <v>14</v>
      </c>
    </row>
    <row r="6" spans="1:72" s="15" customFormat="1" ht="18.75" x14ac:dyDescent="0.3">
      <c r="A6" s="2"/>
      <c r="B6" s="2"/>
      <c r="C6" s="2"/>
      <c r="D6" s="2"/>
      <c r="E6" s="2"/>
      <c r="F6" s="2"/>
      <c r="G6" s="39"/>
      <c r="H6" s="2"/>
      <c r="I6" s="2"/>
      <c r="J6" s="2"/>
      <c r="K6" s="2"/>
      <c r="L6" s="165"/>
      <c r="M6" s="2"/>
      <c r="N6" s="2"/>
      <c r="O6" s="2"/>
      <c r="P6" s="2"/>
      <c r="Q6" s="9"/>
      <c r="R6" s="2"/>
      <c r="S6" s="2"/>
      <c r="T6" s="12"/>
      <c r="U6" s="12"/>
      <c r="V6" s="13"/>
      <c r="W6" s="2"/>
      <c r="X6" s="2"/>
      <c r="Y6" s="2"/>
      <c r="Z6" s="2"/>
      <c r="AA6" s="2"/>
      <c r="AB6" s="2"/>
      <c r="AC6" s="2"/>
      <c r="AD6" s="2"/>
      <c r="AE6" s="2"/>
      <c r="AF6" s="2"/>
      <c r="AG6" s="2"/>
      <c r="AH6" s="2"/>
      <c r="AI6" s="2"/>
      <c r="AJ6" s="2"/>
      <c r="AK6" s="2"/>
      <c r="AL6" s="2"/>
    </row>
    <row r="7" spans="1:72" s="15" customFormat="1" ht="25.5" customHeight="1" x14ac:dyDescent="0.25">
      <c r="A7" s="1" t="s">
        <v>38</v>
      </c>
      <c r="B7" s="1" t="s">
        <v>39</v>
      </c>
      <c r="C7" s="1" t="s">
        <v>40</v>
      </c>
      <c r="D7" s="40" t="s">
        <v>41</v>
      </c>
      <c r="E7" s="1" t="s">
        <v>42</v>
      </c>
      <c r="F7" s="41" t="s">
        <v>83</v>
      </c>
      <c r="G7" s="41" t="s">
        <v>43</v>
      </c>
      <c r="H7" s="42" t="s">
        <v>44</v>
      </c>
      <c r="I7" s="43"/>
      <c r="J7" s="114" t="s">
        <v>44</v>
      </c>
      <c r="K7" s="114" t="s">
        <v>45</v>
      </c>
      <c r="L7" s="114" t="s">
        <v>42</v>
      </c>
      <c r="M7" s="114" t="s">
        <v>79</v>
      </c>
      <c r="N7" s="114" t="s">
        <v>85</v>
      </c>
      <c r="O7" s="114" t="s">
        <v>46</v>
      </c>
      <c r="P7" s="114" t="s">
        <v>47</v>
      </c>
      <c r="Q7" s="115" t="s">
        <v>40</v>
      </c>
      <c r="R7" s="2"/>
      <c r="S7" s="11" t="s">
        <v>44</v>
      </c>
      <c r="T7" s="44" t="s">
        <v>48</v>
      </c>
      <c r="U7" s="44" t="s">
        <v>49</v>
      </c>
      <c r="V7" s="45" t="s">
        <v>49</v>
      </c>
      <c r="W7" s="2"/>
      <c r="X7" s="46" t="s">
        <v>48</v>
      </c>
      <c r="Y7" s="118" t="s">
        <v>50</v>
      </c>
      <c r="Z7" s="118" t="s">
        <v>51</v>
      </c>
      <c r="AA7" s="118" t="s">
        <v>52</v>
      </c>
      <c r="AB7" s="119" t="s">
        <v>53</v>
      </c>
      <c r="AC7" s="119" t="s">
        <v>54</v>
      </c>
      <c r="AD7" s="119" t="s">
        <v>55</v>
      </c>
      <c r="AE7" s="119" t="s">
        <v>56</v>
      </c>
      <c r="AF7" s="119" t="s">
        <v>57</v>
      </c>
      <c r="AG7" s="120" t="s">
        <v>13</v>
      </c>
      <c r="AH7" s="2"/>
      <c r="AI7" s="2"/>
      <c r="AJ7" s="47" t="s">
        <v>58</v>
      </c>
      <c r="AK7" s="47" t="s">
        <v>59</v>
      </c>
      <c r="AL7" s="47" t="s">
        <v>60</v>
      </c>
      <c r="AP7" s="48"/>
      <c r="AQ7" s="48"/>
      <c r="AR7" s="48"/>
      <c r="AS7" s="48"/>
      <c r="AT7" s="48"/>
    </row>
    <row r="8" spans="1:72" s="15" customFormat="1" ht="25.5" customHeight="1" x14ac:dyDescent="0.3">
      <c r="A8" s="229"/>
      <c r="B8" s="178"/>
      <c r="C8" s="178"/>
      <c r="D8" s="178"/>
      <c r="E8" s="179"/>
      <c r="F8" s="50"/>
      <c r="G8" s="50"/>
      <c r="H8" s="50"/>
      <c r="I8" s="51"/>
      <c r="J8" s="116" t="s">
        <v>61</v>
      </c>
      <c r="K8" s="180"/>
      <c r="L8" s="179"/>
      <c r="M8" s="125"/>
      <c r="N8" s="125"/>
      <c r="O8" s="125"/>
      <c r="P8" s="126" t="str">
        <f>(IFERROR(VLOOKUP(K8,[2]Sampling!$A$2:$D$995,4,FALSE),IFERROR(VLOOKUP(K8,'[2]Other Queries'!$A$2:$E$1000,5,FALSE),IFERROR(VLOOKUP(K8,'[2]Statement Confirmation'!$A$2:$F$1000,6,FALSE),""))))</f>
        <v/>
      </c>
      <c r="Q8" s="117">
        <v>43744</v>
      </c>
      <c r="R8" s="51"/>
      <c r="S8" s="52" t="s">
        <v>78</v>
      </c>
      <c r="T8" s="53"/>
      <c r="U8" s="63"/>
      <c r="V8" s="54"/>
      <c r="W8" s="55"/>
      <c r="X8" s="116"/>
      <c r="Y8" s="121"/>
      <c r="Z8" s="122"/>
      <c r="AA8" s="122"/>
      <c r="AB8" s="116"/>
      <c r="AC8" s="121"/>
      <c r="AD8" s="122"/>
      <c r="AE8" s="122"/>
      <c r="AF8" s="116"/>
      <c r="AG8" s="123"/>
      <c r="AJ8" s="56">
        <v>340</v>
      </c>
      <c r="AK8" s="56"/>
      <c r="AL8" s="57">
        <f t="shared" ref="AL8:AL33" si="0">IF(AK8=ISBLANK(AK8),AJ8,(AJ8/(8+AK8))*8)</f>
        <v>340</v>
      </c>
      <c r="AP8" s="48"/>
      <c r="AQ8" s="48"/>
      <c r="AR8" s="48"/>
      <c r="AS8" s="48"/>
      <c r="AT8" s="48"/>
      <c r="BA8" s="15" t="str">
        <f>(IFERROR(VLOOKUP(#REF!,#REF!,7,FALSE),IFERROR(VLOOKUP(#REF!,#REF!,7,FALSE),"")))</f>
        <v/>
      </c>
      <c r="BD8">
        <v>415</v>
      </c>
    </row>
    <row r="9" spans="1:72" s="15" customFormat="1" ht="25.5" customHeight="1" thickBot="1" x14ac:dyDescent="0.35">
      <c r="A9" s="184"/>
      <c r="B9" s="185"/>
      <c r="C9" s="185"/>
      <c r="D9" s="185"/>
      <c r="E9" s="179"/>
      <c r="F9" s="50"/>
      <c r="G9" s="50"/>
      <c r="H9" s="50"/>
      <c r="I9" s="51"/>
      <c r="J9" s="116" t="s">
        <v>61</v>
      </c>
      <c r="K9" s="188"/>
      <c r="L9" s="179"/>
      <c r="M9" s="125"/>
      <c r="N9" s="125"/>
      <c r="O9" s="125"/>
      <c r="P9" s="126" t="str">
        <f>(IFERROR(VLOOKUP(K9,[2]Sampling!$A$2:$D$995,4,FALSE),IFERROR(VLOOKUP(K9,'[2]Other Queries'!$A$2:$E$1000,5,FALSE),IFERROR(VLOOKUP(K9,'[2]Statement Confirmation'!$A$2:$F$1000,6,FALSE),""))))</f>
        <v/>
      </c>
      <c r="Q9" s="117"/>
      <c r="R9" s="51"/>
      <c r="S9" s="52" t="s">
        <v>78</v>
      </c>
      <c r="T9" s="53"/>
      <c r="U9" s="63"/>
      <c r="V9" s="54"/>
      <c r="W9" s="55"/>
      <c r="X9" s="116"/>
      <c r="Y9" s="121"/>
      <c r="Z9" s="122"/>
      <c r="AA9" s="122"/>
      <c r="AB9" s="116"/>
      <c r="AC9" s="121"/>
      <c r="AD9" s="122"/>
      <c r="AE9" s="122"/>
      <c r="AF9" s="116"/>
      <c r="AG9" s="123"/>
      <c r="AJ9" s="56"/>
      <c r="AK9" s="56"/>
      <c r="AL9" s="57">
        <f t="shared" si="0"/>
        <v>0</v>
      </c>
      <c r="AP9" s="48"/>
      <c r="AQ9" s="48"/>
      <c r="AR9" s="48"/>
      <c r="AS9" s="48"/>
      <c r="AT9" s="48"/>
      <c r="BA9" s="15" t="str">
        <f>(IFERROR(VLOOKUP(#REF!,#REF!,7,FALSE),IFERROR(VLOOKUP(#REF!,#REF!,7,FALSE),"")))</f>
        <v/>
      </c>
      <c r="BD9" s="58">
        <f>BD8-AQ10</f>
        <v>75</v>
      </c>
    </row>
    <row r="10" spans="1:72" s="15" customFormat="1" ht="25.5" customHeight="1" thickBot="1" x14ac:dyDescent="0.35">
      <c r="A10" s="186"/>
      <c r="B10" s="187"/>
      <c r="C10" s="187"/>
      <c r="D10" s="187"/>
      <c r="E10" s="179"/>
      <c r="F10" s="50"/>
      <c r="G10" s="50"/>
      <c r="H10" s="50"/>
      <c r="I10" s="51"/>
      <c r="J10" s="116" t="s">
        <v>61</v>
      </c>
      <c r="K10" s="188"/>
      <c r="L10" s="179"/>
      <c r="M10" s="125"/>
      <c r="N10" s="125"/>
      <c r="O10" s="125"/>
      <c r="P10" s="126" t="str">
        <f>(IFERROR(VLOOKUP(K10,[2]Sampling!$A$2:$D$995,4,FALSE),IFERROR(VLOOKUP(K10,'[2]Other Queries'!$A$2:$E$1000,5,FALSE),IFERROR(VLOOKUP(K10,'[2]Statement Confirmation'!$A$2:$F$1000,6,FALSE),""))))</f>
        <v/>
      </c>
      <c r="Q10" s="117"/>
      <c r="R10" s="51"/>
      <c r="S10" s="52" t="s">
        <v>61</v>
      </c>
      <c r="T10" s="53"/>
      <c r="U10" s="53"/>
      <c r="V10" s="54"/>
      <c r="W10" s="55"/>
      <c r="X10" s="116"/>
      <c r="Y10" s="121"/>
      <c r="Z10" s="122"/>
      <c r="AA10" s="122"/>
      <c r="AB10" s="116"/>
      <c r="AC10" s="121"/>
      <c r="AD10" s="122"/>
      <c r="AE10" s="122"/>
      <c r="AF10" s="116"/>
      <c r="AG10" s="123"/>
      <c r="AJ10" s="56"/>
      <c r="AK10" s="56"/>
      <c r="AL10" s="57">
        <f t="shared" si="0"/>
        <v>0</v>
      </c>
      <c r="AN10" s="222" t="s">
        <v>62</v>
      </c>
      <c r="AO10" s="223"/>
      <c r="AP10" s="224"/>
      <c r="AQ10" s="59">
        <f>AL37</f>
        <v>340</v>
      </c>
      <c r="AR10" s="48"/>
      <c r="AS10" s="48"/>
      <c r="AT10" s="48"/>
      <c r="BA10" s="15" t="str">
        <f>(IFERROR(VLOOKUP(#REF!,#REF!,7,FALSE),IFERROR(VLOOKUP(#REF!,#REF!,7,FALSE),"")))</f>
        <v/>
      </c>
      <c r="BD10">
        <f>BD9*AQ12</f>
        <v>75</v>
      </c>
    </row>
    <row r="11" spans="1:72" s="15" customFormat="1" ht="25.5" customHeight="1" thickBot="1" x14ac:dyDescent="0.35">
      <c r="A11" s="186"/>
      <c r="B11" s="187"/>
      <c r="C11" s="187"/>
      <c r="D11" s="187"/>
      <c r="E11" s="179"/>
      <c r="F11" s="50"/>
      <c r="G11" s="50"/>
      <c r="H11" s="50"/>
      <c r="I11" s="51"/>
      <c r="J11" s="116" t="s">
        <v>61</v>
      </c>
      <c r="K11" s="188"/>
      <c r="L11" s="179"/>
      <c r="M11" s="125"/>
      <c r="N11" s="125"/>
      <c r="O11" s="125"/>
      <c r="P11" s="126" t="str">
        <f>(IFERROR(VLOOKUP(K11,[2]Sampling!$A$2:$D$995,4,FALSE),IFERROR(VLOOKUP(K11,'[2]Other Queries'!$A$2:$E$1000,5,FALSE),IFERROR(VLOOKUP(K11,'[2]Statement Confirmation'!$A$2:$F$1000,6,FALSE),""))))</f>
        <v/>
      </c>
      <c r="Q11" s="117"/>
      <c r="R11" s="51"/>
      <c r="S11" s="52" t="s">
        <v>61</v>
      </c>
      <c r="T11" s="53"/>
      <c r="U11" s="53"/>
      <c r="V11" s="54"/>
      <c r="W11" s="55"/>
      <c r="X11" s="116"/>
      <c r="Y11" s="121"/>
      <c r="Z11" s="122"/>
      <c r="AA11" s="122"/>
      <c r="AB11" s="116"/>
      <c r="AC11" s="121"/>
      <c r="AD11" s="122"/>
      <c r="AE11" s="122"/>
      <c r="AF11" s="116"/>
      <c r="AG11" s="123"/>
      <c r="AJ11" s="56"/>
      <c r="AK11" s="56"/>
      <c r="AL11" s="57">
        <f t="shared" si="0"/>
        <v>0</v>
      </c>
      <c r="AN11" s="60"/>
      <c r="AO11" s="60"/>
      <c r="AP11" s="60"/>
      <c r="AQ11" s="61"/>
      <c r="AR11" s="48"/>
      <c r="AS11" s="48"/>
      <c r="AT11" s="48"/>
      <c r="BA11" s="15" t="str">
        <f>(IFERROR(VLOOKUP(#REF!,#REF!,7,FALSE),IFERROR(VLOOKUP(#REF!,#REF!,7,FALSE),"")))</f>
        <v/>
      </c>
      <c r="BD11">
        <f>BD8*AQ14</f>
        <v>415</v>
      </c>
    </row>
    <row r="12" spans="1:72" s="15" customFormat="1" ht="25.5" customHeight="1" thickBot="1" x14ac:dyDescent="0.35">
      <c r="A12" s="186"/>
      <c r="B12" s="187"/>
      <c r="C12" s="187"/>
      <c r="D12" s="187"/>
      <c r="E12" s="179"/>
      <c r="F12" s="50"/>
      <c r="G12" s="50"/>
      <c r="H12" s="50"/>
      <c r="I12" s="51"/>
      <c r="J12" s="116" t="s">
        <v>61</v>
      </c>
      <c r="K12" s="188"/>
      <c r="L12" s="179"/>
      <c r="M12" s="125"/>
      <c r="N12" s="125"/>
      <c r="O12" s="125"/>
      <c r="P12" s="126" t="str">
        <f>(IFERROR(VLOOKUP(K12,[2]Sampling!$A$2:$D$995,4,FALSE),IFERROR(VLOOKUP(K12,'[2]Other Queries'!$A$2:$E$1000,5,FALSE),IFERROR(VLOOKUP(K12,'[2]Statement Confirmation'!$A$2:$F$1000,6,FALSE),""))))</f>
        <v/>
      </c>
      <c r="Q12" s="117"/>
      <c r="R12" s="51"/>
      <c r="S12" s="52" t="s">
        <v>61</v>
      </c>
      <c r="T12" s="53"/>
      <c r="U12" s="53"/>
      <c r="V12" s="54"/>
      <c r="W12" s="55"/>
      <c r="X12" s="116"/>
      <c r="Y12" s="121"/>
      <c r="Z12" s="122"/>
      <c r="AA12" s="122"/>
      <c r="AB12" s="116"/>
      <c r="AC12" s="121"/>
      <c r="AD12" s="122"/>
      <c r="AE12" s="122"/>
      <c r="AF12" s="116"/>
      <c r="AG12" s="123"/>
      <c r="AJ12" s="56"/>
      <c r="AK12" s="56"/>
      <c r="AL12" s="57">
        <f t="shared" si="0"/>
        <v>0</v>
      </c>
      <c r="AN12" s="222" t="s">
        <v>63</v>
      </c>
      <c r="AO12" s="223"/>
      <c r="AP12" s="224"/>
      <c r="AQ12" s="62">
        <v>1</v>
      </c>
      <c r="BA12" s="15" t="str">
        <f>(IFERROR(VLOOKUP(#REF!,#REF!,7,FALSE),IFERROR(VLOOKUP(#REF!,#REF!,7,FALSE),"")))</f>
        <v/>
      </c>
      <c r="BD12">
        <f>SUM(BD10:BD11)</f>
        <v>490</v>
      </c>
    </row>
    <row r="13" spans="1:72" s="15" customFormat="1" ht="25.5" customHeight="1" thickBot="1" x14ac:dyDescent="0.35">
      <c r="A13" s="137"/>
      <c r="B13" s="134"/>
      <c r="C13" s="228"/>
      <c r="D13" s="227"/>
      <c r="E13" s="179"/>
      <c r="F13" s="50"/>
      <c r="G13" s="50"/>
      <c r="H13" s="50"/>
      <c r="I13" s="51"/>
      <c r="J13" s="116" t="s">
        <v>61</v>
      </c>
      <c r="K13" s="188"/>
      <c r="L13" s="179"/>
      <c r="M13" s="125"/>
      <c r="N13" s="125"/>
      <c r="O13" s="125"/>
      <c r="P13" s="126" t="str">
        <f>(IFERROR(VLOOKUP(K13,[2]Sampling!$A$2:$D$995,4,FALSE),IFERROR(VLOOKUP(K13,'[2]Other Queries'!$A$2:$E$1000,5,FALSE),IFERROR(VLOOKUP(K13,'[2]Statement Confirmation'!$A$2:$F$1000,6,FALSE),""))))</f>
        <v/>
      </c>
      <c r="Q13" s="117"/>
      <c r="R13" s="51"/>
      <c r="S13" s="52" t="s">
        <v>61</v>
      </c>
      <c r="T13" s="53"/>
      <c r="U13" s="53"/>
      <c r="V13" s="54"/>
      <c r="W13" s="55"/>
      <c r="X13" s="116"/>
      <c r="Y13" s="121"/>
      <c r="Z13" s="122"/>
      <c r="AA13" s="122"/>
      <c r="AB13" s="116"/>
      <c r="AC13" s="121"/>
      <c r="AD13" s="122"/>
      <c r="AE13" s="122"/>
      <c r="AF13" s="116"/>
      <c r="AG13" s="123"/>
      <c r="AJ13" s="56"/>
      <c r="AK13" s="56"/>
      <c r="AL13" s="57">
        <f t="shared" si="0"/>
        <v>0</v>
      </c>
      <c r="AN13" s="60"/>
      <c r="AO13" s="60"/>
      <c r="AP13" s="60"/>
      <c r="AQ13" s="61"/>
      <c r="BA13" s="15" t="str">
        <f>(IFERROR(VLOOKUP(#REF!,#REF!,7,FALSE),IFERROR(VLOOKUP(#REF!,#REF!,7,FALSE),"")))</f>
        <v/>
      </c>
    </row>
    <row r="14" spans="1:72" s="15" customFormat="1" ht="25.5" customHeight="1" thickBot="1" x14ac:dyDescent="0.35">
      <c r="A14" s="137"/>
      <c r="B14" s="134"/>
      <c r="C14" s="228"/>
      <c r="D14" s="227"/>
      <c r="E14" s="179"/>
      <c r="F14" s="50"/>
      <c r="G14" s="50"/>
      <c r="H14" s="50"/>
      <c r="I14" s="51"/>
      <c r="J14" s="116" t="s">
        <v>61</v>
      </c>
      <c r="K14" s="188"/>
      <c r="L14" s="179"/>
      <c r="M14" s="125"/>
      <c r="N14" s="125"/>
      <c r="O14" s="125"/>
      <c r="P14" s="126" t="str">
        <f>(IFERROR(VLOOKUP(K14,[2]Sampling!$A$2:$D$995,4,FALSE),IFERROR(VLOOKUP(K14,'[2]Other Queries'!$A$2:$E$1000,5,FALSE),IFERROR(VLOOKUP(K14,'[2]Statement Confirmation'!$A$2:$F$1000,6,FALSE),""))))</f>
        <v/>
      </c>
      <c r="Q14" s="117"/>
      <c r="R14" s="51"/>
      <c r="S14" s="52" t="s">
        <v>61</v>
      </c>
      <c r="T14" s="53"/>
      <c r="U14" s="53"/>
      <c r="V14" s="54"/>
      <c r="W14" s="55"/>
      <c r="X14" s="116"/>
      <c r="Y14" s="121"/>
      <c r="Z14" s="122"/>
      <c r="AA14" s="122"/>
      <c r="AB14" s="116"/>
      <c r="AC14" s="121"/>
      <c r="AD14" s="122"/>
      <c r="AE14" s="122"/>
      <c r="AF14" s="116"/>
      <c r="AG14" s="123"/>
      <c r="AJ14" s="56"/>
      <c r="AK14" s="56"/>
      <c r="AL14" s="57">
        <f t="shared" si="0"/>
        <v>0</v>
      </c>
      <c r="AN14" s="222" t="s">
        <v>64</v>
      </c>
      <c r="AO14" s="223"/>
      <c r="AP14" s="224"/>
      <c r="AQ14" s="62">
        <v>1</v>
      </c>
      <c r="BA14" s="15" t="str">
        <f>(IFERROR(VLOOKUP(#REF!,#REF!,7,FALSE),IFERROR(VLOOKUP(#REF!,#REF!,7,FALSE),"")))</f>
        <v/>
      </c>
    </row>
    <row r="15" spans="1:72" s="15" customFormat="1" ht="25.5" customHeight="1" thickBot="1" x14ac:dyDescent="0.35">
      <c r="A15" s="137"/>
      <c r="B15" s="134"/>
      <c r="C15" s="228"/>
      <c r="D15" s="227"/>
      <c r="E15" s="179"/>
      <c r="F15" s="50"/>
      <c r="G15" s="50"/>
      <c r="H15" s="50"/>
      <c r="I15" s="51"/>
      <c r="J15" s="116" t="s">
        <v>61</v>
      </c>
      <c r="K15" s="188"/>
      <c r="L15" s="179"/>
      <c r="M15" s="125"/>
      <c r="N15" s="125"/>
      <c r="O15" s="125"/>
      <c r="P15" s="126" t="str">
        <f>(IFERROR(VLOOKUP(K15,[2]Sampling!$A$2:$D$995,4,FALSE),IFERROR(VLOOKUP(K15,'[2]Other Queries'!$A$2:$E$1000,5,FALSE),IFERROR(VLOOKUP(K15,'[2]Statement Confirmation'!$A$2:$F$1000,6,FALSE),""))))</f>
        <v/>
      </c>
      <c r="Q15" s="117"/>
      <c r="R15" s="51"/>
      <c r="S15" s="52" t="s">
        <v>61</v>
      </c>
      <c r="T15" s="53"/>
      <c r="U15" s="63"/>
      <c r="V15" s="54"/>
      <c r="W15" s="55"/>
      <c r="X15" s="116"/>
      <c r="Y15" s="121"/>
      <c r="Z15" s="122"/>
      <c r="AA15" s="122"/>
      <c r="AB15" s="116"/>
      <c r="AC15" s="121"/>
      <c r="AD15" s="122"/>
      <c r="AE15" s="122"/>
      <c r="AF15" s="116"/>
      <c r="AG15" s="123"/>
      <c r="AJ15" s="56"/>
      <c r="AK15" s="56"/>
      <c r="AL15" s="57">
        <f t="shared" si="0"/>
        <v>0</v>
      </c>
      <c r="AN15" s="60"/>
      <c r="AO15" s="60"/>
      <c r="AP15" s="60"/>
      <c r="AQ15" s="61"/>
      <c r="BA15" s="15" t="str">
        <f>(IFERROR(VLOOKUP(#REF!,#REF!,7,FALSE),IFERROR(VLOOKUP(#REF!,#REF!,7,FALSE),"")))</f>
        <v/>
      </c>
    </row>
    <row r="16" spans="1:72" s="15" customFormat="1" ht="25.5" customHeight="1" thickBot="1" x14ac:dyDescent="0.35">
      <c r="A16" s="137"/>
      <c r="B16" s="134"/>
      <c r="C16" s="228"/>
      <c r="D16" s="227"/>
      <c r="E16" s="179"/>
      <c r="F16" s="50"/>
      <c r="G16" s="50"/>
      <c r="H16" s="50"/>
      <c r="I16" s="51"/>
      <c r="J16" s="116" t="s">
        <v>61</v>
      </c>
      <c r="K16" s="188"/>
      <c r="L16" s="179"/>
      <c r="M16" s="125"/>
      <c r="N16" s="125"/>
      <c r="O16" s="125"/>
      <c r="P16" s="126" t="str">
        <f>(IFERROR(VLOOKUP(K16,[2]Sampling!$A$2:$D$995,4,FALSE),IFERROR(VLOOKUP(K16,'[2]Other Queries'!$A$2:$E$1000,5,FALSE),IFERROR(VLOOKUP(K16,'[2]Statement Confirmation'!$A$2:$F$1000,6,FALSE),""))))</f>
        <v/>
      </c>
      <c r="Q16" s="117"/>
      <c r="R16" s="51"/>
      <c r="S16" s="52" t="s">
        <v>61</v>
      </c>
      <c r="T16" s="53"/>
      <c r="U16" s="63"/>
      <c r="V16" s="54"/>
      <c r="W16" s="55"/>
      <c r="X16" s="116"/>
      <c r="Y16" s="121"/>
      <c r="Z16" s="122"/>
      <c r="AA16" s="122"/>
      <c r="AB16" s="116"/>
      <c r="AC16" s="121"/>
      <c r="AD16" s="122"/>
      <c r="AE16" s="122"/>
      <c r="AF16" s="116"/>
      <c r="AG16" s="123"/>
      <c r="AJ16" s="56"/>
      <c r="AK16" s="56"/>
      <c r="AL16" s="57">
        <f t="shared" si="0"/>
        <v>0</v>
      </c>
      <c r="AN16" s="222" t="s">
        <v>65</v>
      </c>
      <c r="AO16" s="223"/>
      <c r="AP16" s="224"/>
      <c r="AQ16" s="64">
        <f>BD12/AQ14</f>
        <v>490</v>
      </c>
      <c r="BA16" s="15" t="str">
        <f>(IFERROR(VLOOKUP(#REF!,#REF!,7,FALSE),IFERROR(VLOOKUP(#REF!,#REF!,7,FALSE),"")))</f>
        <v/>
      </c>
    </row>
    <row r="17" spans="1:53" s="15" customFormat="1" ht="25.5" customHeight="1" x14ac:dyDescent="0.3">
      <c r="A17" s="137"/>
      <c r="B17" s="134"/>
      <c r="C17" s="228"/>
      <c r="D17" s="227"/>
      <c r="E17" s="179"/>
      <c r="F17" s="50"/>
      <c r="G17" s="50"/>
      <c r="H17" s="50"/>
      <c r="I17" s="51"/>
      <c r="J17" s="116" t="s">
        <v>61</v>
      </c>
      <c r="K17" s="188"/>
      <c r="L17" s="179"/>
      <c r="M17" s="125"/>
      <c r="N17" s="125"/>
      <c r="O17" s="136"/>
      <c r="P17" s="126" t="str">
        <f>(IFERROR(VLOOKUP(K17,[2]Sampling!$A$2:$D$995,4,FALSE),IFERROR(VLOOKUP(K17,'[2]Other Queries'!$A$2:$E$1000,5,FALSE),IFERROR(VLOOKUP(K17,'[2]Statement Confirmation'!$A$2:$F$1000,6,FALSE),""))))</f>
        <v/>
      </c>
      <c r="Q17" s="117"/>
      <c r="R17" s="51"/>
      <c r="S17" s="52" t="s">
        <v>61</v>
      </c>
      <c r="T17" s="53"/>
      <c r="U17" s="63"/>
      <c r="V17" s="54"/>
      <c r="W17" s="55"/>
      <c r="X17" s="116"/>
      <c r="Y17" s="121"/>
      <c r="Z17" s="122"/>
      <c r="AA17" s="122"/>
      <c r="AB17" s="116"/>
      <c r="AC17" s="121"/>
      <c r="AD17" s="122"/>
      <c r="AE17" s="122"/>
      <c r="AF17" s="116"/>
      <c r="AG17" s="123"/>
      <c r="AJ17" s="56"/>
      <c r="AK17" s="56"/>
      <c r="AL17" s="57">
        <f t="shared" si="0"/>
        <v>0</v>
      </c>
      <c r="AP17"/>
      <c r="BA17" s="15" t="str">
        <f>(IFERROR(VLOOKUP(#REF!,#REF!,7,FALSE),IFERROR(VLOOKUP(#REF!,#REF!,7,FALSE),"")))</f>
        <v/>
      </c>
    </row>
    <row r="18" spans="1:53" s="15" customFormat="1" ht="25.5" customHeight="1" x14ac:dyDescent="0.3">
      <c r="A18" s="137"/>
      <c r="B18" s="134"/>
      <c r="C18" s="228"/>
      <c r="D18" s="227"/>
      <c r="E18" s="179"/>
      <c r="F18" s="50"/>
      <c r="G18" s="50"/>
      <c r="H18" s="50"/>
      <c r="I18" s="51"/>
      <c r="J18" s="116" t="s">
        <v>61</v>
      </c>
      <c r="K18" s="188"/>
      <c r="L18" s="179"/>
      <c r="M18" s="125"/>
      <c r="N18" s="125"/>
      <c r="O18" s="125"/>
      <c r="P18" s="126" t="str">
        <f>(IFERROR(VLOOKUP(K18,[2]Sampling!$A$2:$D$995,4,FALSE),IFERROR(VLOOKUP(K18,'[2]Other Queries'!$A$2:$E$1000,5,FALSE),IFERROR(VLOOKUP(K18,'[2]Statement Confirmation'!$A$2:$F$1000,6,FALSE),""))))</f>
        <v/>
      </c>
      <c r="Q18" s="117"/>
      <c r="R18" s="51"/>
      <c r="S18" s="52" t="s">
        <v>61</v>
      </c>
      <c r="T18" s="53"/>
      <c r="U18" s="53"/>
      <c r="V18" s="54"/>
      <c r="W18" s="55"/>
      <c r="X18" s="116"/>
      <c r="Y18" s="121"/>
      <c r="Z18" s="122"/>
      <c r="AA18" s="122"/>
      <c r="AB18" s="116"/>
      <c r="AC18" s="121"/>
      <c r="AD18" s="122"/>
      <c r="AE18" s="122"/>
      <c r="AF18" s="116"/>
      <c r="AG18" s="123"/>
      <c r="AJ18" s="56"/>
      <c r="AK18" s="56"/>
      <c r="AL18" s="57">
        <f t="shared" si="0"/>
        <v>0</v>
      </c>
      <c r="AP18"/>
      <c r="BA18" s="15" t="str">
        <f>(IFERROR(VLOOKUP(#REF!,#REF!,7,FALSE),IFERROR(VLOOKUP(#REF!,#REF!,7,FALSE),"")))</f>
        <v/>
      </c>
    </row>
    <row r="19" spans="1:53" s="15" customFormat="1" ht="25.5" customHeight="1" x14ac:dyDescent="0.3">
      <c r="A19" s="137"/>
      <c r="B19" s="134"/>
      <c r="C19" s="228"/>
      <c r="D19" s="227"/>
      <c r="E19" s="179"/>
      <c r="F19" s="50"/>
      <c r="G19" s="50"/>
      <c r="H19" s="50"/>
      <c r="I19" s="51"/>
      <c r="J19" s="116" t="s">
        <v>61</v>
      </c>
      <c r="K19" s="188"/>
      <c r="L19" s="179"/>
      <c r="M19" s="129"/>
      <c r="N19" s="125"/>
      <c r="O19" s="125"/>
      <c r="P19" s="126" t="str">
        <f>(IFERROR(VLOOKUP(K19,[2]Sampling!$A$2:$D$995,4,FALSE),IFERROR(VLOOKUP(K19,'[2]Other Queries'!$A$2:$E$1000,5,FALSE),IFERROR(VLOOKUP(K19,'[2]Statement Confirmation'!$A$2:$F$1000,6,FALSE),""))))</f>
        <v/>
      </c>
      <c r="Q19" s="117"/>
      <c r="R19" s="51"/>
      <c r="S19" s="52" t="s">
        <v>61</v>
      </c>
      <c r="T19" s="53"/>
      <c r="U19" s="53"/>
      <c r="V19" s="54"/>
      <c r="W19" s="55"/>
      <c r="X19" s="116"/>
      <c r="Y19" s="121"/>
      <c r="Z19" s="122"/>
      <c r="AA19" s="122"/>
      <c r="AB19" s="116"/>
      <c r="AC19" s="121"/>
      <c r="AD19" s="122"/>
      <c r="AE19" s="122"/>
      <c r="AF19" s="116"/>
      <c r="AG19" s="123"/>
      <c r="AJ19" s="56"/>
      <c r="AK19" s="56"/>
      <c r="AL19" s="57">
        <f t="shared" si="0"/>
        <v>0</v>
      </c>
      <c r="AP19" s="48"/>
      <c r="AQ19" s="48"/>
      <c r="AR19" s="48"/>
      <c r="AS19" s="48"/>
      <c r="AT19" s="48"/>
      <c r="BA19" s="15" t="str">
        <f>(IFERROR(VLOOKUP(#REF!,#REF!,7,FALSE),IFERROR(VLOOKUP(#REF!,#REF!,7,FALSE),"")))</f>
        <v/>
      </c>
    </row>
    <row r="20" spans="1:53" s="15" customFormat="1" ht="25.5" customHeight="1" x14ac:dyDescent="0.3">
      <c r="A20" s="137"/>
      <c r="B20" s="134"/>
      <c r="C20" s="228"/>
      <c r="D20" s="227"/>
      <c r="E20" s="179"/>
      <c r="F20" s="50"/>
      <c r="G20" s="50"/>
      <c r="H20" s="50"/>
      <c r="I20" s="51"/>
      <c r="J20" s="116" t="s">
        <v>61</v>
      </c>
      <c r="K20" s="85"/>
      <c r="L20" s="179"/>
      <c r="M20" s="125"/>
      <c r="N20" s="125"/>
      <c r="O20" s="125"/>
      <c r="P20" s="126" t="str">
        <f>(IFERROR(VLOOKUP(K20,[2]Sampling!$A$2:$D$995,4,FALSE),IFERROR(VLOOKUP(K20,'[2]Other Queries'!$A$2:$E$1000,5,FALSE),IFERROR(VLOOKUP(K20,'[2]Statement Confirmation'!$A$2:$F$1000,6,FALSE),""))))</f>
        <v/>
      </c>
      <c r="Q20" s="117"/>
      <c r="R20" s="51"/>
      <c r="S20" s="52" t="s">
        <v>61</v>
      </c>
      <c r="T20" s="53"/>
      <c r="U20" s="53"/>
      <c r="V20" s="54"/>
      <c r="W20" s="55"/>
      <c r="X20" s="116"/>
      <c r="Y20" s="121"/>
      <c r="Z20" s="122"/>
      <c r="AA20" s="122"/>
      <c r="AB20" s="116"/>
      <c r="AC20" s="121"/>
      <c r="AD20" s="122"/>
      <c r="AE20" s="122"/>
      <c r="AF20" s="116"/>
      <c r="AG20" s="123"/>
      <c r="AJ20" s="56"/>
      <c r="AK20" s="56"/>
      <c r="AL20" s="57">
        <f t="shared" si="0"/>
        <v>0</v>
      </c>
      <c r="AR20" s="48"/>
      <c r="AS20" s="48"/>
      <c r="AT20" s="48"/>
      <c r="BA20" s="15" t="str">
        <f>(IFERROR(VLOOKUP(#REF!,#REF!,7,FALSE),IFERROR(VLOOKUP(#REF!,#REF!,7,FALSE),"")))</f>
        <v/>
      </c>
    </row>
    <row r="21" spans="1:53" s="15" customFormat="1" ht="25.5" customHeight="1" x14ac:dyDescent="0.3">
      <c r="A21" s="137"/>
      <c r="B21" s="134"/>
      <c r="C21" s="228"/>
      <c r="D21" s="227"/>
      <c r="E21" s="179"/>
      <c r="F21" s="50"/>
      <c r="G21" s="50"/>
      <c r="H21" s="50"/>
      <c r="I21" s="51"/>
      <c r="J21" s="116" t="s">
        <v>61</v>
      </c>
      <c r="K21" s="146"/>
      <c r="L21" s="50"/>
      <c r="M21" s="125"/>
      <c r="N21" s="125"/>
      <c r="O21" s="125"/>
      <c r="P21" s="126" t="str">
        <f>(IFERROR(VLOOKUP(K21,[2]Sampling!$A$2:$D$995,4,FALSE),IFERROR(VLOOKUP(K21,'[2]Other Queries'!$A$2:$E$1000,5,FALSE),IFERROR(VLOOKUP(K21,'[2]Statement Confirmation'!$A$2:$F$1000,6,FALSE),""))))</f>
        <v/>
      </c>
      <c r="Q21" s="117"/>
      <c r="R21" s="51"/>
      <c r="S21" s="52" t="s">
        <v>61</v>
      </c>
      <c r="T21" s="53"/>
      <c r="U21" s="53"/>
      <c r="V21" s="54"/>
      <c r="W21" s="55"/>
      <c r="X21" s="116"/>
      <c r="Y21" s="121"/>
      <c r="Z21" s="122"/>
      <c r="AA21" s="122"/>
      <c r="AB21" s="116"/>
      <c r="AC21" s="121"/>
      <c r="AD21" s="122"/>
      <c r="AE21" s="122"/>
      <c r="AF21" s="116"/>
      <c r="AG21" s="123"/>
      <c r="AJ21" s="56"/>
      <c r="AK21" s="56"/>
      <c r="AL21" s="57">
        <f t="shared" si="0"/>
        <v>0</v>
      </c>
      <c r="AR21" s="48"/>
      <c r="AS21" s="48"/>
      <c r="AT21" s="48"/>
      <c r="BA21" s="15" t="str">
        <f>(IFERROR(VLOOKUP(#REF!,#REF!,7,FALSE),IFERROR(VLOOKUP(#REF!,#REF!,7,FALSE),"")))</f>
        <v/>
      </c>
    </row>
    <row r="22" spans="1:53" s="15" customFormat="1" ht="25.5" customHeight="1" x14ac:dyDescent="0.3">
      <c r="A22" s="137"/>
      <c r="B22" s="134"/>
      <c r="C22" s="228"/>
      <c r="D22" s="227"/>
      <c r="E22" s="179"/>
      <c r="F22" s="50"/>
      <c r="G22" s="50"/>
      <c r="H22" s="50"/>
      <c r="I22" s="51"/>
      <c r="J22" s="116" t="s">
        <v>61</v>
      </c>
      <c r="K22" s="145"/>
      <c r="L22" s="125"/>
      <c r="M22" s="125"/>
      <c r="N22" s="125"/>
      <c r="O22" s="125"/>
      <c r="P22" s="126" t="str">
        <f>(IFERROR(VLOOKUP(K22,[2]Sampling!$A$2:$D$995,4,FALSE),IFERROR(VLOOKUP(K22,'[2]Other Queries'!$A$2:$E$1000,5,FALSE),IFERROR(VLOOKUP(K22,'[2]Statement Confirmation'!$A$2:$F$1000,6,FALSE),""))))</f>
        <v/>
      </c>
      <c r="Q22" s="117"/>
      <c r="R22" s="51"/>
      <c r="S22" s="52" t="s">
        <v>61</v>
      </c>
      <c r="T22" s="53"/>
      <c r="U22" s="53"/>
      <c r="V22" s="54"/>
      <c r="W22" s="55"/>
      <c r="X22" s="116"/>
      <c r="Y22" s="121"/>
      <c r="Z22" s="122"/>
      <c r="AA22" s="122"/>
      <c r="AB22" s="116"/>
      <c r="AC22" s="121"/>
      <c r="AD22" s="122"/>
      <c r="AE22" s="122"/>
      <c r="AF22" s="116"/>
      <c r="AG22" s="123"/>
      <c r="AJ22" s="56"/>
      <c r="AK22" s="56"/>
      <c r="AL22" s="57">
        <f t="shared" si="0"/>
        <v>0</v>
      </c>
      <c r="AR22" s="48"/>
      <c r="AS22" s="48"/>
      <c r="AT22" s="48"/>
      <c r="BA22" s="15" t="str">
        <f>(IFERROR(VLOOKUP(#REF!,#REF!,7,FALSE),IFERROR(VLOOKUP(#REF!,#REF!,7,FALSE),"")))</f>
        <v/>
      </c>
    </row>
    <row r="23" spans="1:53" s="15" customFormat="1" ht="25.5" customHeight="1" x14ac:dyDescent="0.3">
      <c r="A23" s="137"/>
      <c r="B23" s="134"/>
      <c r="C23" s="228"/>
      <c r="D23" s="227"/>
      <c r="E23" s="179"/>
      <c r="F23" s="50"/>
      <c r="G23" s="50"/>
      <c r="H23" s="50"/>
      <c r="I23" s="51"/>
      <c r="J23" s="116" t="s">
        <v>61</v>
      </c>
      <c r="K23" s="146"/>
      <c r="L23" s="127"/>
      <c r="M23" s="125"/>
      <c r="N23" s="125"/>
      <c r="O23" s="125"/>
      <c r="P23" s="126" t="str">
        <f>(IFERROR(VLOOKUP(K23,[2]Sampling!$A$2:$D$995,4,FALSE),IFERROR(VLOOKUP(K23,'[2]Other Queries'!$A$2:$E$1000,5,FALSE),IFERROR(VLOOKUP(K23,'[2]Statement Confirmation'!$A$2:$F$1000,6,FALSE),""))))</f>
        <v/>
      </c>
      <c r="Q23" s="117"/>
      <c r="R23" s="51"/>
      <c r="S23" s="52" t="s">
        <v>61</v>
      </c>
      <c r="T23" s="53"/>
      <c r="U23" s="53"/>
      <c r="V23" s="54"/>
      <c r="W23" s="55"/>
      <c r="X23" s="116"/>
      <c r="Y23" s="121"/>
      <c r="Z23" s="122"/>
      <c r="AA23" s="122"/>
      <c r="AB23" s="116"/>
      <c r="AC23" s="121"/>
      <c r="AD23" s="122"/>
      <c r="AE23" s="122"/>
      <c r="AF23" s="116"/>
      <c r="AG23" s="123"/>
      <c r="AJ23" s="56"/>
      <c r="AK23" s="56"/>
      <c r="AL23" s="57">
        <f t="shared" si="0"/>
        <v>0</v>
      </c>
      <c r="AR23" s="48"/>
      <c r="AS23" s="48"/>
      <c r="AT23" s="48"/>
      <c r="BA23" s="15" t="str">
        <f>(IFERROR(VLOOKUP(#REF!,#REF!,7,FALSE),IFERROR(VLOOKUP(#REF!,#REF!,7,FALSE),"")))</f>
        <v/>
      </c>
    </row>
    <row r="24" spans="1:53" s="15" customFormat="1" ht="25.5" customHeight="1" x14ac:dyDescent="0.3">
      <c r="A24" s="137"/>
      <c r="B24" s="134"/>
      <c r="C24" s="228"/>
      <c r="D24" s="227"/>
      <c r="E24" s="179"/>
      <c r="F24" s="50"/>
      <c r="G24" s="50"/>
      <c r="H24" s="50"/>
      <c r="I24" s="51"/>
      <c r="J24" s="116" t="s">
        <v>61</v>
      </c>
      <c r="K24" s="146"/>
      <c r="L24" s="127"/>
      <c r="M24" s="125"/>
      <c r="N24" s="125"/>
      <c r="O24" s="125"/>
      <c r="P24" s="126" t="str">
        <f>(IFERROR(VLOOKUP(K24,[2]Sampling!$A$2:$D$995,4,FALSE),IFERROR(VLOOKUP(K24,'[2]Other Queries'!$A$2:$E$1000,5,FALSE),IFERROR(VLOOKUP(K24,'[2]Statement Confirmation'!$A$2:$F$1000,6,FALSE),""))))</f>
        <v/>
      </c>
      <c r="Q24" s="117"/>
      <c r="R24" s="51"/>
      <c r="S24" s="52" t="s">
        <v>61</v>
      </c>
      <c r="T24" s="53"/>
      <c r="U24" s="53"/>
      <c r="V24" s="54"/>
      <c r="W24" s="55"/>
      <c r="X24" s="116"/>
      <c r="Y24" s="121"/>
      <c r="Z24" s="122"/>
      <c r="AA24" s="122"/>
      <c r="AB24" s="116"/>
      <c r="AC24" s="121"/>
      <c r="AD24" s="122"/>
      <c r="AE24" s="122"/>
      <c r="AF24" s="116"/>
      <c r="AG24" s="123"/>
      <c r="AJ24" s="56"/>
      <c r="AK24" s="56"/>
      <c r="AL24" s="57">
        <f t="shared" si="0"/>
        <v>0</v>
      </c>
      <c r="AR24" s="48"/>
      <c r="AS24" s="48"/>
      <c r="AT24" s="48"/>
      <c r="BA24" s="15" t="str">
        <f>(IFERROR(VLOOKUP(#REF!,#REF!,7,FALSE),IFERROR(VLOOKUP(#REF!,#REF!,7,FALSE),"")))</f>
        <v/>
      </c>
    </row>
    <row r="25" spans="1:53" s="15" customFormat="1" ht="25.5" customHeight="1" x14ac:dyDescent="0.3">
      <c r="A25" s="137"/>
      <c r="B25" s="134"/>
      <c r="C25" s="228"/>
      <c r="D25" s="227"/>
      <c r="E25" s="179"/>
      <c r="F25" s="50"/>
      <c r="G25" s="50"/>
      <c r="H25" s="50"/>
      <c r="I25" s="51"/>
      <c r="J25" s="116" t="s">
        <v>61</v>
      </c>
      <c r="K25" s="168"/>
      <c r="L25" s="127"/>
      <c r="M25" s="125"/>
      <c r="N25" s="125"/>
      <c r="O25" s="125"/>
      <c r="P25" s="126" t="str">
        <f>(IFERROR(VLOOKUP(K25,[2]Sampling!$A$2:$D$995,4,FALSE),IFERROR(VLOOKUP(K25,'[2]Other Queries'!$A$2:$E$1000,5,FALSE),IFERROR(VLOOKUP(K25,'[2]Statement Confirmation'!$A$2:$F$1000,6,FALSE),""))))</f>
        <v/>
      </c>
      <c r="Q25" s="117"/>
      <c r="R25" s="51"/>
      <c r="S25" s="52" t="s">
        <v>61</v>
      </c>
      <c r="T25" s="53"/>
      <c r="U25" s="53"/>
      <c r="V25" s="54"/>
      <c r="W25" s="55"/>
      <c r="X25" s="116"/>
      <c r="Y25" s="121"/>
      <c r="Z25" s="122"/>
      <c r="AA25" s="122"/>
      <c r="AB25" s="116"/>
      <c r="AC25" s="121"/>
      <c r="AD25" s="122"/>
      <c r="AE25" s="122"/>
      <c r="AF25" s="116"/>
      <c r="AG25" s="123"/>
      <c r="AJ25" s="56"/>
      <c r="AK25" s="56"/>
      <c r="AL25" s="57">
        <f t="shared" si="0"/>
        <v>0</v>
      </c>
      <c r="AR25" s="48"/>
      <c r="AS25" s="48"/>
      <c r="AT25" s="48"/>
      <c r="BA25" s="15" t="str">
        <f>(IFERROR(VLOOKUP(#REF!,#REF!,7,FALSE),IFERROR(VLOOKUP(#REF!,#REF!,7,FALSE),"")))</f>
        <v/>
      </c>
    </row>
    <row r="26" spans="1:53" s="15" customFormat="1" ht="25.5" customHeight="1" x14ac:dyDescent="0.3">
      <c r="A26" s="137"/>
      <c r="B26" s="134"/>
      <c r="C26" s="228"/>
      <c r="D26" s="227"/>
      <c r="E26" s="179"/>
      <c r="F26" s="50"/>
      <c r="G26" s="50"/>
      <c r="H26" s="50"/>
      <c r="I26" s="51"/>
      <c r="J26" s="116" t="s">
        <v>61</v>
      </c>
      <c r="K26" s="168"/>
      <c r="L26" s="127"/>
      <c r="M26" s="125"/>
      <c r="N26" s="125"/>
      <c r="O26" s="125"/>
      <c r="P26" s="126" t="str">
        <f>(IFERROR(VLOOKUP(K26,[2]Sampling!$A$2:$D$995,4,FALSE),IFERROR(VLOOKUP(K26,'[2]Other Queries'!$A$2:$E$1000,5,FALSE),IFERROR(VLOOKUP(K26,'[2]Statement Confirmation'!$A$2:$F$1000,6,FALSE),""))))</f>
        <v/>
      </c>
      <c r="Q26" s="117"/>
      <c r="R26" s="51"/>
      <c r="S26" s="52" t="s">
        <v>61</v>
      </c>
      <c r="T26" s="53"/>
      <c r="U26" s="53"/>
      <c r="V26" s="54"/>
      <c r="W26" s="55"/>
      <c r="X26" s="116"/>
      <c r="Y26" s="121"/>
      <c r="Z26" s="122"/>
      <c r="AA26" s="122"/>
      <c r="AB26" s="116"/>
      <c r="AC26" s="121"/>
      <c r="AD26" s="122"/>
      <c r="AE26" s="122"/>
      <c r="AF26" s="116"/>
      <c r="AG26" s="123"/>
      <c r="AJ26" s="56"/>
      <c r="AK26" s="56"/>
      <c r="AL26" s="57">
        <f t="shared" si="0"/>
        <v>0</v>
      </c>
      <c r="AR26"/>
      <c r="AS26"/>
      <c r="AT26"/>
      <c r="BA26" s="15" t="str">
        <f>(IFERROR(VLOOKUP(#REF!,#REF!,7,FALSE),IFERROR(VLOOKUP(#REF!,#REF!,7,FALSE),"")))</f>
        <v/>
      </c>
    </row>
    <row r="27" spans="1:53" s="15" customFormat="1" ht="25.5" customHeight="1" x14ac:dyDescent="0.3">
      <c r="A27" s="137"/>
      <c r="B27" s="134"/>
      <c r="C27" s="228"/>
      <c r="D27" s="227"/>
      <c r="E27" s="179"/>
      <c r="F27" s="50"/>
      <c r="G27" s="50"/>
      <c r="H27" s="50"/>
      <c r="I27" s="51"/>
      <c r="J27" s="116" t="s">
        <v>61</v>
      </c>
      <c r="K27" s="161"/>
      <c r="L27" s="141"/>
      <c r="M27" s="129"/>
      <c r="N27" s="125"/>
      <c r="O27" s="125"/>
      <c r="P27" s="126" t="str">
        <f>(IFERROR(VLOOKUP(K27,[2]Sampling!$A$2:$D$995,4,FALSE),IFERROR(VLOOKUP(K27,'[2]Other Queries'!$A$2:$E$1000,5,FALSE),IFERROR(VLOOKUP(K27,'[2]Statement Confirmation'!$A$2:$F$1000,6,FALSE),""))))</f>
        <v/>
      </c>
      <c r="Q27" s="117"/>
      <c r="R27" s="51"/>
      <c r="S27" s="52" t="s">
        <v>61</v>
      </c>
      <c r="T27" s="52"/>
      <c r="U27" s="53"/>
      <c r="V27" s="54"/>
      <c r="W27" s="55"/>
      <c r="X27" s="116"/>
      <c r="Y27" s="121"/>
      <c r="Z27" s="122"/>
      <c r="AA27" s="122"/>
      <c r="AB27" s="116"/>
      <c r="AC27" s="121"/>
      <c r="AD27" s="122"/>
      <c r="AE27" s="122"/>
      <c r="AF27" s="116"/>
      <c r="AG27" s="123"/>
      <c r="AJ27" s="56"/>
      <c r="AK27" s="56"/>
      <c r="AL27" s="57">
        <f t="shared" si="0"/>
        <v>0</v>
      </c>
      <c r="AP27"/>
      <c r="AQ27"/>
      <c r="AR27"/>
      <c r="AS27"/>
      <c r="AT27"/>
      <c r="BA27" s="15" t="str">
        <f>(IFERROR(VLOOKUP(#REF!,#REF!,7,FALSE),IFERROR(VLOOKUP(#REF!,#REF!,7,FALSE),"")))</f>
        <v/>
      </c>
    </row>
    <row r="28" spans="1:53" s="15" customFormat="1" ht="25.5" customHeight="1" x14ac:dyDescent="0.3">
      <c r="A28" s="137"/>
      <c r="B28" s="134"/>
      <c r="C28" s="228"/>
      <c r="D28" s="227"/>
      <c r="E28" s="179"/>
      <c r="F28" s="50"/>
      <c r="G28" s="50"/>
      <c r="H28" s="50"/>
      <c r="I28" s="51"/>
      <c r="J28" s="116" t="s">
        <v>61</v>
      </c>
      <c r="K28" s="140"/>
      <c r="L28" s="125"/>
      <c r="M28" s="125"/>
      <c r="N28" s="125"/>
      <c r="O28" s="125"/>
      <c r="P28" s="126" t="str">
        <f>(IFERROR(VLOOKUP(K28,[2]Sampling!$A$2:$D$995,4,FALSE),IFERROR(VLOOKUP(K28,'[2]Other Queries'!$A$2:$E$1000,5,FALSE),IFERROR(VLOOKUP(K28,'[2]Statement Confirmation'!$A$2:$F$1000,6,FALSE),""))))</f>
        <v/>
      </c>
      <c r="Q28" s="117"/>
      <c r="R28" s="51"/>
      <c r="S28" s="52" t="s">
        <v>61</v>
      </c>
      <c r="T28" s="53"/>
      <c r="U28" s="53"/>
      <c r="V28" s="54"/>
      <c r="W28" s="55"/>
      <c r="X28" s="116"/>
      <c r="Y28" s="121"/>
      <c r="Z28" s="122"/>
      <c r="AA28" s="122"/>
      <c r="AB28" s="116"/>
      <c r="AC28" s="121"/>
      <c r="AD28" s="122"/>
      <c r="AE28" s="122"/>
      <c r="AF28" s="116"/>
      <c r="AG28" s="123"/>
      <c r="AJ28" s="56"/>
      <c r="AK28" s="56"/>
      <c r="AL28" s="57">
        <f t="shared" si="0"/>
        <v>0</v>
      </c>
      <c r="AP28"/>
      <c r="AQ28"/>
      <c r="AR28"/>
      <c r="AS28"/>
      <c r="AT28"/>
      <c r="BA28" s="15" t="str">
        <f>(IFERROR(VLOOKUP(#REF!,#REF!,7,FALSE),IFERROR(VLOOKUP(#REF!,#REF!,7,FALSE),"")))</f>
        <v/>
      </c>
    </row>
    <row r="29" spans="1:53" s="15" customFormat="1" ht="25.5" customHeight="1" x14ac:dyDescent="0.3">
      <c r="A29" s="137"/>
      <c r="B29" s="134"/>
      <c r="C29" s="228"/>
      <c r="D29" s="227"/>
      <c r="E29" s="179"/>
      <c r="F29" s="50"/>
      <c r="G29" s="50"/>
      <c r="H29" s="50"/>
      <c r="I29" s="51"/>
      <c r="J29" s="116" t="s">
        <v>61</v>
      </c>
      <c r="K29" s="140"/>
      <c r="L29" s="125"/>
      <c r="M29" s="125"/>
      <c r="N29" s="125"/>
      <c r="O29" s="125"/>
      <c r="P29" s="126" t="str">
        <f>(IFERROR(VLOOKUP(K29,[2]Sampling!$A$2:$D$995,4,FALSE),IFERROR(VLOOKUP(K29,'[2]Other Queries'!$A$2:$E$1000,5,FALSE),IFERROR(VLOOKUP(K29,'[2]Statement Confirmation'!$A$2:$F$1000,6,FALSE),""))))</f>
        <v/>
      </c>
      <c r="Q29" s="117"/>
      <c r="R29" s="51"/>
      <c r="S29" s="52" t="s">
        <v>61</v>
      </c>
      <c r="T29" s="53"/>
      <c r="U29" s="53"/>
      <c r="V29" s="54"/>
      <c r="W29" s="55"/>
      <c r="X29" s="116"/>
      <c r="Y29" s="121"/>
      <c r="Z29" s="122"/>
      <c r="AA29" s="122"/>
      <c r="AB29" s="116"/>
      <c r="AC29" s="121"/>
      <c r="AD29" s="122"/>
      <c r="AE29" s="122"/>
      <c r="AF29" s="116"/>
      <c r="AG29" s="123"/>
      <c r="AJ29" s="56"/>
      <c r="AK29" s="56"/>
      <c r="AL29" s="57">
        <f t="shared" si="0"/>
        <v>0</v>
      </c>
      <c r="AP29"/>
      <c r="AQ29"/>
      <c r="AR29"/>
      <c r="AS29"/>
      <c r="AT29"/>
      <c r="BA29" s="15" t="str">
        <f>(IFERROR(VLOOKUP(#REF!,#REF!,7,FALSE),IFERROR(VLOOKUP(#REF!,#REF!,7,FALSE),"")))</f>
        <v/>
      </c>
    </row>
    <row r="30" spans="1:53" s="15" customFormat="1" ht="25.5" customHeight="1" x14ac:dyDescent="0.3">
      <c r="A30" s="137"/>
      <c r="B30" s="134"/>
      <c r="C30" s="228"/>
      <c r="D30" s="227"/>
      <c r="E30" s="179"/>
      <c r="F30" s="50"/>
      <c r="G30" s="50"/>
      <c r="H30" s="50"/>
      <c r="I30" s="51"/>
      <c r="J30" s="116" t="s">
        <v>61</v>
      </c>
      <c r="K30" s="130"/>
      <c r="L30" s="125"/>
      <c r="M30" s="125"/>
      <c r="N30" s="125"/>
      <c r="O30" s="125"/>
      <c r="P30" s="126" t="str">
        <f>(IFERROR(VLOOKUP(K30,[2]Sampling!$A$2:$D$995,4,FALSE),IFERROR(VLOOKUP(K30,'[2]Other Queries'!$A$2:$E$1000,5,FALSE),IFERROR(VLOOKUP(K30,'[2]Statement Confirmation'!$A$2:$F$1000,6,FALSE),""))))</f>
        <v/>
      </c>
      <c r="Q30" s="117"/>
      <c r="R30" s="51"/>
      <c r="S30" s="52" t="s">
        <v>61</v>
      </c>
      <c r="T30" s="53"/>
      <c r="U30" s="53"/>
      <c r="V30" s="54"/>
      <c r="W30" s="55"/>
      <c r="X30" s="116"/>
      <c r="Y30" s="121"/>
      <c r="Z30" s="122"/>
      <c r="AA30" s="122"/>
      <c r="AB30" s="116"/>
      <c r="AC30" s="121"/>
      <c r="AD30" s="122"/>
      <c r="AE30" s="122"/>
      <c r="AF30" s="116"/>
      <c r="AG30" s="123"/>
      <c r="AJ30" s="56"/>
      <c r="AK30" s="56"/>
      <c r="AL30" s="57">
        <f t="shared" si="0"/>
        <v>0</v>
      </c>
      <c r="AP30"/>
      <c r="AQ30"/>
      <c r="AR30"/>
      <c r="AS30"/>
      <c r="AT30"/>
      <c r="BA30" s="15" t="str">
        <f>(IFERROR(VLOOKUP(#REF!,#REF!,7,FALSE),IFERROR(VLOOKUP(#REF!,#REF!,7,FALSE),"")))</f>
        <v/>
      </c>
    </row>
    <row r="31" spans="1:53" s="15" customFormat="1" ht="25.5" customHeight="1" x14ac:dyDescent="0.3">
      <c r="A31" s="137"/>
      <c r="B31" s="134"/>
      <c r="C31" s="228"/>
      <c r="D31" s="227"/>
      <c r="E31" s="179"/>
      <c r="F31" s="50"/>
      <c r="G31" s="50"/>
      <c r="H31" s="50"/>
      <c r="I31" s="51"/>
      <c r="J31" s="116" t="s">
        <v>61</v>
      </c>
      <c r="K31" s="140"/>
      <c r="L31" s="125"/>
      <c r="M31" s="125"/>
      <c r="N31" s="125"/>
      <c r="O31" s="125"/>
      <c r="P31" s="126" t="str">
        <f>(IFERROR(VLOOKUP(K31,[2]Sampling!$A$2:$D$995,4,FALSE),IFERROR(VLOOKUP(K31,'[2]Other Queries'!$A$2:$E$1000,5,FALSE),IFERROR(VLOOKUP(K31,'[2]Statement Confirmation'!$A$2:$F$1000,6,FALSE),""))))</f>
        <v/>
      </c>
      <c r="Q31" s="117"/>
      <c r="R31" s="51"/>
      <c r="S31" s="52" t="s">
        <v>61</v>
      </c>
      <c r="T31" s="53"/>
      <c r="U31" s="53"/>
      <c r="V31" s="54"/>
      <c r="W31" s="55"/>
      <c r="X31" s="116"/>
      <c r="Y31" s="121"/>
      <c r="Z31" s="122"/>
      <c r="AA31" s="122"/>
      <c r="AB31" s="116"/>
      <c r="AC31" s="121"/>
      <c r="AD31" s="122"/>
      <c r="AE31" s="122"/>
      <c r="AF31" s="116"/>
      <c r="AG31" s="123"/>
      <c r="AJ31" s="56"/>
      <c r="AK31" s="56"/>
      <c r="AL31" s="57">
        <f t="shared" si="0"/>
        <v>0</v>
      </c>
      <c r="AP31"/>
      <c r="AQ31"/>
      <c r="AR31"/>
      <c r="AS31"/>
      <c r="AT31"/>
      <c r="BA31" s="15" t="str">
        <f>(IFERROR(VLOOKUP(#REF!,#REF!,7,FALSE),IFERROR(VLOOKUP(#REF!,#REF!,7,FALSE),"")))</f>
        <v/>
      </c>
    </row>
    <row r="32" spans="1:53" s="15" customFormat="1" ht="25.5" customHeight="1" x14ac:dyDescent="0.3">
      <c r="A32" s="137"/>
      <c r="B32" s="134"/>
      <c r="C32" s="228"/>
      <c r="D32" s="227"/>
      <c r="E32" s="179"/>
      <c r="F32" s="50"/>
      <c r="G32" s="50"/>
      <c r="H32" s="50"/>
      <c r="I32" s="51"/>
      <c r="J32" s="116" t="s">
        <v>61</v>
      </c>
      <c r="K32" s="168"/>
      <c r="L32" s="127"/>
      <c r="M32" s="125"/>
      <c r="N32" s="125"/>
      <c r="O32" s="125"/>
      <c r="P32" s="126" t="str">
        <f>(IFERROR(VLOOKUP(K32,[2]Sampling!$A$2:$D$995,4,FALSE),IFERROR(VLOOKUP(K32,'[2]Other Queries'!$A$2:$E$1000,5,FALSE),IFERROR(VLOOKUP(K32,'[2]Statement Confirmation'!$A$2:$F$1000,6,FALSE),""))))</f>
        <v/>
      </c>
      <c r="Q32" s="117"/>
      <c r="R32" s="51"/>
      <c r="S32" s="52" t="s">
        <v>61</v>
      </c>
      <c r="T32" s="53"/>
      <c r="U32" s="53"/>
      <c r="V32" s="54"/>
      <c r="W32" s="55"/>
      <c r="X32" s="116"/>
      <c r="Y32" s="121"/>
      <c r="Z32" s="122"/>
      <c r="AA32" s="122"/>
      <c r="AB32" s="116"/>
      <c r="AC32" s="121"/>
      <c r="AD32" s="122"/>
      <c r="AE32" s="122"/>
      <c r="AF32" s="116"/>
      <c r="AG32" s="123"/>
      <c r="AJ32" s="56"/>
      <c r="AK32" s="56"/>
      <c r="AL32" s="57">
        <f t="shared" si="0"/>
        <v>0</v>
      </c>
      <c r="AP32"/>
      <c r="AQ32"/>
      <c r="AR32"/>
      <c r="AS32"/>
      <c r="AT32"/>
      <c r="BA32" s="15" t="str">
        <f>(IFERROR(VLOOKUP(#REF!,#REF!,7,FALSE),IFERROR(VLOOKUP(#REF!,#REF!,7,FALSE),"")))</f>
        <v/>
      </c>
    </row>
    <row r="33" spans="1:53" s="15" customFormat="1" ht="25.5" customHeight="1" x14ac:dyDescent="0.3">
      <c r="A33" s="137"/>
      <c r="B33" s="134"/>
      <c r="C33" s="228"/>
      <c r="D33" s="227"/>
      <c r="E33" s="179"/>
      <c r="F33" s="50"/>
      <c r="G33" s="50"/>
      <c r="H33" s="50"/>
      <c r="I33" s="51"/>
      <c r="J33" s="116" t="s">
        <v>61</v>
      </c>
      <c r="K33" s="168"/>
      <c r="L33" s="127"/>
      <c r="M33" s="125"/>
      <c r="N33" s="125"/>
      <c r="O33" s="125"/>
      <c r="P33" s="126" t="str">
        <f>(IFERROR(VLOOKUP(K33,[2]Sampling!$A$2:$D$995,4,FALSE),IFERROR(VLOOKUP(K33,'[2]Other Queries'!$A$2:$E$1000,5,FALSE),IFERROR(VLOOKUP(K33,'[2]Statement Confirmation'!$A$2:$F$1000,6,FALSE),""))))</f>
        <v/>
      </c>
      <c r="Q33" s="117"/>
      <c r="R33" s="51"/>
      <c r="S33" s="52" t="s">
        <v>61</v>
      </c>
      <c r="T33" s="53"/>
      <c r="U33" s="53"/>
      <c r="V33" s="54"/>
      <c r="W33" s="55"/>
      <c r="X33" s="116"/>
      <c r="Y33" s="121"/>
      <c r="Z33" s="122"/>
      <c r="AA33" s="122"/>
      <c r="AB33" s="116"/>
      <c r="AC33" s="121"/>
      <c r="AD33" s="122"/>
      <c r="AE33" s="122"/>
      <c r="AF33" s="116"/>
      <c r="AG33" s="123"/>
      <c r="AJ33" s="56"/>
      <c r="AK33" s="56"/>
      <c r="AL33" s="57">
        <f t="shared" si="0"/>
        <v>0</v>
      </c>
      <c r="AP33"/>
      <c r="AQ33"/>
      <c r="AR33"/>
      <c r="AS33"/>
      <c r="AT33"/>
      <c r="BA33" s="15" t="str">
        <f>(IFERROR(VLOOKUP(#REF!,#REF!,7,FALSE),IFERROR(VLOOKUP(#REF!,#REF!,7,FALSE),"")))</f>
        <v/>
      </c>
    </row>
    <row r="34" spans="1:53" s="15" customFormat="1" ht="25.5" customHeight="1" x14ac:dyDescent="0.3">
      <c r="A34" s="137"/>
      <c r="B34" s="134"/>
      <c r="C34" s="228"/>
      <c r="D34" s="227"/>
      <c r="E34" s="179"/>
      <c r="F34" s="50"/>
      <c r="G34" s="50"/>
      <c r="H34" s="50"/>
      <c r="I34" s="51"/>
      <c r="J34" s="116" t="s">
        <v>61</v>
      </c>
      <c r="K34" s="146"/>
      <c r="L34" s="127"/>
      <c r="M34" s="125"/>
      <c r="N34" s="125"/>
      <c r="O34" s="125"/>
      <c r="P34" s="126" t="str">
        <f>(IFERROR(VLOOKUP(K34,[2]Sampling!$A$2:$D$995,4,FALSE),IFERROR(VLOOKUP(K34,'[2]Other Queries'!$A$2:$E$1000,5,FALSE),IFERROR(VLOOKUP(K34,'[2]Statement Confirmation'!$A$2:$F$1000,6,FALSE),""))))</f>
        <v/>
      </c>
      <c r="Q34" s="117"/>
      <c r="R34" s="51"/>
      <c r="S34" s="52" t="s">
        <v>61</v>
      </c>
      <c r="T34" s="53"/>
      <c r="U34" s="53"/>
      <c r="V34" s="54"/>
      <c r="W34" s="55"/>
      <c r="X34" s="116"/>
      <c r="Y34" s="121"/>
      <c r="Z34" s="122"/>
      <c r="AA34" s="122"/>
      <c r="AB34" s="116"/>
      <c r="AC34" s="121"/>
      <c r="AD34" s="122"/>
      <c r="AE34" s="122"/>
      <c r="AF34" s="116"/>
      <c r="AG34" s="123"/>
      <c r="AJ34" s="56"/>
      <c r="AK34" s="56"/>
      <c r="AL34" s="57">
        <f>IF(AK34=ISBLANK(AK34),AJ34,(AJ34/(8+AK34))*8)</f>
        <v>0</v>
      </c>
      <c r="AP34"/>
      <c r="AQ34"/>
      <c r="AR34"/>
      <c r="AS34"/>
      <c r="AT34"/>
      <c r="BA34" s="15" t="str">
        <f>(IFERROR(VLOOKUP(#REF!,#REF!,7,FALSE),IFERROR(VLOOKUP(#REF!,#REF!,7,FALSE),"")))</f>
        <v/>
      </c>
    </row>
    <row r="35" spans="1:53" s="15" customFormat="1" ht="25.5" customHeight="1" thickBot="1" x14ac:dyDescent="0.35">
      <c r="A35" s="137"/>
      <c r="B35" s="134"/>
      <c r="C35" s="228"/>
      <c r="D35" s="227"/>
      <c r="E35" s="179"/>
      <c r="F35" s="50"/>
      <c r="G35" s="50"/>
      <c r="H35" s="50"/>
      <c r="I35" s="162"/>
      <c r="J35" s="116" t="s">
        <v>61</v>
      </c>
      <c r="K35" s="146"/>
      <c r="L35" s="127"/>
      <c r="M35" s="125"/>
      <c r="N35" s="125"/>
      <c r="O35" s="125"/>
      <c r="P35" s="126" t="str">
        <f>(IFERROR(VLOOKUP(K35,[2]Sampling!$A$2:$D$995,4,FALSE),IFERROR(VLOOKUP(K35,'[2]Other Queries'!$A$2:$E$1000,5,FALSE),IFERROR(VLOOKUP(K35,'[2]Statement Confirmation'!$A$2:$F$1000,6,FALSE),""))))</f>
        <v/>
      </c>
      <c r="Q35" s="117"/>
      <c r="R35" s="51"/>
      <c r="S35" s="52" t="s">
        <v>61</v>
      </c>
      <c r="T35" s="53"/>
      <c r="U35" s="53"/>
      <c r="V35" s="54"/>
      <c r="W35" s="55"/>
      <c r="X35" s="116"/>
      <c r="Y35" s="121"/>
      <c r="Z35" s="122"/>
      <c r="AA35" s="122"/>
      <c r="AB35" s="116"/>
      <c r="AC35" s="121"/>
      <c r="AD35" s="122"/>
      <c r="AE35" s="122"/>
      <c r="AF35" s="116"/>
      <c r="AG35" s="123"/>
      <c r="AJ35" s="56"/>
      <c r="AK35" s="65"/>
      <c r="AL35" s="57">
        <f>IF(AK35=ISBLANK(AK35),AJ35,(AJ35/(8+AK35))*8)</f>
        <v>0</v>
      </c>
      <c r="AP35"/>
      <c r="AQ35"/>
      <c r="AR35"/>
      <c r="AS35"/>
      <c r="AT35"/>
      <c r="BA35" s="15" t="str">
        <f>(IFERROR(VLOOKUP(#REF!,#REF!,7,FALSE),IFERROR(VLOOKUP(#REF!,#REF!,7,FALSE),"")))</f>
        <v/>
      </c>
    </row>
    <row r="36" spans="1:53" s="15" customFormat="1" ht="25.5" customHeight="1" thickTop="1" thickBot="1" x14ac:dyDescent="0.35">
      <c r="A36" s="137"/>
      <c r="B36" s="134"/>
      <c r="C36" s="228"/>
      <c r="D36" s="227"/>
      <c r="E36" s="179"/>
      <c r="F36" s="50"/>
      <c r="G36" s="50"/>
      <c r="H36" s="50"/>
      <c r="I36" s="51"/>
      <c r="J36" s="116" t="s">
        <v>61</v>
      </c>
      <c r="K36" s="169"/>
      <c r="L36" s="127"/>
      <c r="M36" s="125"/>
      <c r="N36" s="125"/>
      <c r="O36" s="125"/>
      <c r="P36" s="126" t="str">
        <f>(IFERROR(VLOOKUP(K36,[2]Sampling!$A$2:$D$995,4,FALSE),IFERROR(VLOOKUP(K36,'[2]Other Queries'!$A$2:$E$1000,5,FALSE),IFERROR(VLOOKUP(K36,'[2]Statement Confirmation'!$A$2:$F$1000,6,FALSE),""))))</f>
        <v/>
      </c>
      <c r="Q36" s="117"/>
      <c r="R36" s="51"/>
      <c r="S36" s="52" t="s">
        <v>61</v>
      </c>
      <c r="T36" s="53"/>
      <c r="U36" s="53"/>
      <c r="V36" s="54"/>
      <c r="W36" s="55"/>
      <c r="X36" s="116"/>
      <c r="Y36" s="121"/>
      <c r="Z36" s="122"/>
      <c r="AA36" s="122"/>
      <c r="AB36" s="116"/>
      <c r="AC36" s="121"/>
      <c r="AD36" s="122"/>
      <c r="AE36" s="122"/>
      <c r="AF36" s="116"/>
      <c r="AG36" s="123"/>
      <c r="AJ36" s="225" t="s">
        <v>66</v>
      </c>
      <c r="AK36" s="226"/>
      <c r="AL36" s="66">
        <f>SUM(AL8:AL35)</f>
        <v>340</v>
      </c>
      <c r="AO36"/>
      <c r="AP36"/>
      <c r="AQ36"/>
      <c r="AR36"/>
      <c r="AS36"/>
      <c r="AT36"/>
      <c r="BA36" s="15" t="str">
        <f>(IFERROR(VLOOKUP(#REF!,#REF!,7,FALSE),IFERROR(VLOOKUP(#REF!,#REF!,7,FALSE),"")))</f>
        <v/>
      </c>
    </row>
    <row r="37" spans="1:53" s="15" customFormat="1" ht="25.5" customHeight="1" thickTop="1" thickBot="1" x14ac:dyDescent="0.35">
      <c r="A37" s="137"/>
      <c r="B37" s="134"/>
      <c r="C37" s="228"/>
      <c r="D37" s="227"/>
      <c r="E37" s="179"/>
      <c r="F37" s="50"/>
      <c r="G37" s="50"/>
      <c r="H37" s="50"/>
      <c r="I37" s="51"/>
      <c r="J37" s="116" t="s">
        <v>61</v>
      </c>
      <c r="K37" s="168"/>
      <c r="L37" s="127"/>
      <c r="M37" s="125"/>
      <c r="N37" s="125"/>
      <c r="O37" s="125"/>
      <c r="P37" s="126" t="str">
        <f>(IFERROR(VLOOKUP(K37,[2]Sampling!$A$2:$D$995,4,FALSE),IFERROR(VLOOKUP(K37,'[2]Other Queries'!$A$2:$E$1000,5,FALSE),IFERROR(VLOOKUP(K37,'[2]Statement Confirmation'!$A$2:$F$1000,6,FALSE),""))))</f>
        <v/>
      </c>
      <c r="Q37" s="117"/>
      <c r="R37" s="51"/>
      <c r="S37" s="52" t="s">
        <v>61</v>
      </c>
      <c r="T37" s="53"/>
      <c r="U37" s="53"/>
      <c r="V37" s="54"/>
      <c r="W37" s="55"/>
      <c r="X37" s="116"/>
      <c r="Y37" s="121"/>
      <c r="Z37" s="122"/>
      <c r="AA37" s="122"/>
      <c r="AB37" s="116"/>
      <c r="AC37" s="121"/>
      <c r="AD37" s="122"/>
      <c r="AE37" s="122"/>
      <c r="AF37" s="116"/>
      <c r="AG37" s="123"/>
      <c r="AJ37" s="220" t="s">
        <v>67</v>
      </c>
      <c r="AK37" s="221"/>
      <c r="AL37" s="67">
        <f>(AL36/COUNTIF(AL8:AL35,"&lt;&gt;0"))</f>
        <v>340</v>
      </c>
      <c r="AO37"/>
      <c r="AP37"/>
      <c r="AQ37"/>
      <c r="AR37"/>
      <c r="AS37"/>
      <c r="AT37"/>
      <c r="BA37" s="15" t="str">
        <f>(IFERROR(VLOOKUP(#REF!,#REF!,7,FALSE),IFERROR(VLOOKUP(#REF!,#REF!,7,FALSE),"")))</f>
        <v/>
      </c>
    </row>
    <row r="38" spans="1:53" s="15" customFormat="1" ht="25.5" customHeight="1" thickTop="1" thickBot="1" x14ac:dyDescent="0.35">
      <c r="A38" s="137"/>
      <c r="B38" s="134"/>
      <c r="C38" s="228"/>
      <c r="D38" s="227"/>
      <c r="E38" s="179"/>
      <c r="F38" s="50"/>
      <c r="G38" s="50"/>
      <c r="H38" s="50"/>
      <c r="I38" s="51"/>
      <c r="J38" s="116" t="s">
        <v>61</v>
      </c>
      <c r="K38" s="146"/>
      <c r="L38" s="141"/>
      <c r="M38" s="129"/>
      <c r="N38" s="125"/>
      <c r="O38" s="125"/>
      <c r="P38" s="126" t="str">
        <f>(IFERROR(VLOOKUP(K38,[2]Sampling!$A$2:$D$995,4,FALSE),IFERROR(VLOOKUP(K38,'[2]Other Queries'!$A$2:$E$1000,5,FALSE),IFERROR(VLOOKUP(K38,'[2]Statement Confirmation'!$A$2:$F$1000,6,FALSE),""))))</f>
        <v/>
      </c>
      <c r="Q38" s="117"/>
      <c r="R38" s="51"/>
      <c r="S38" s="52" t="s">
        <v>61</v>
      </c>
      <c r="T38" s="53"/>
      <c r="U38" s="53"/>
      <c r="V38" s="54"/>
      <c r="W38" s="55"/>
      <c r="X38" s="116"/>
      <c r="Y38" s="121"/>
      <c r="Z38" s="122"/>
      <c r="AA38" s="122"/>
      <c r="AB38" s="116"/>
      <c r="AC38" s="121"/>
      <c r="AD38" s="122"/>
      <c r="AE38" s="122"/>
      <c r="AF38" s="116"/>
      <c r="AG38" s="123"/>
      <c r="AJ38" s="218" t="s">
        <v>68</v>
      </c>
      <c r="AK38" s="219"/>
      <c r="AL38" s="68">
        <v>415</v>
      </c>
      <c r="AO38"/>
      <c r="AP38"/>
      <c r="AQ38"/>
      <c r="AR38"/>
      <c r="AS38"/>
      <c r="AT38"/>
      <c r="BA38" s="15" t="str">
        <f>(IFERROR(VLOOKUP(#REF!,#REF!,7,FALSE),IFERROR(VLOOKUP(#REF!,#REF!,7,FALSE),"")))</f>
        <v/>
      </c>
    </row>
    <row r="39" spans="1:53" s="15" customFormat="1" ht="25.5" customHeight="1" thickTop="1" thickBot="1" x14ac:dyDescent="0.35">
      <c r="A39" s="137"/>
      <c r="B39" s="134"/>
      <c r="C39" s="228"/>
      <c r="D39" s="227"/>
      <c r="E39" s="179"/>
      <c r="F39" s="50"/>
      <c r="G39" s="50"/>
      <c r="H39" s="50"/>
      <c r="I39" s="51"/>
      <c r="J39" s="116" t="s">
        <v>61</v>
      </c>
      <c r="K39" s="142"/>
      <c r="L39" s="127"/>
      <c r="M39" s="125"/>
      <c r="N39" s="125"/>
      <c r="O39" s="125"/>
      <c r="P39" s="126" t="str">
        <f>(IFERROR(VLOOKUP(K39,[2]Sampling!$A$2:$D$995,4,FALSE),IFERROR(VLOOKUP(K39,'[2]Other Queries'!$A$2:$E$1000,5,FALSE),IFERROR(VLOOKUP(K39,'[2]Statement Confirmation'!$A$2:$F$1000,6,FALSE),""))))</f>
        <v/>
      </c>
      <c r="Q39" s="117"/>
      <c r="R39" s="51"/>
      <c r="S39" s="52" t="s">
        <v>61</v>
      </c>
      <c r="T39" s="53"/>
      <c r="U39" s="53"/>
      <c r="V39" s="54"/>
      <c r="W39" s="55"/>
      <c r="X39" s="116"/>
      <c r="Y39" s="121"/>
      <c r="Z39" s="122"/>
      <c r="AA39" s="122"/>
      <c r="AB39" s="116"/>
      <c r="AC39" s="121"/>
      <c r="AD39" s="122"/>
      <c r="AE39" s="122"/>
      <c r="AF39" s="116"/>
      <c r="AG39" s="123"/>
      <c r="AJ39" s="220" t="str">
        <f>IF(AL37&lt;415,"You Are Short By", " Great Job - You are ahead")</f>
        <v>You Are Short By</v>
      </c>
      <c r="AK39" s="221"/>
      <c r="AL39" s="68">
        <f>AL38-AL37</f>
        <v>75</v>
      </c>
      <c r="AO39"/>
      <c r="AP39"/>
      <c r="AQ39"/>
      <c r="AR39"/>
      <c r="AS39"/>
      <c r="AT39"/>
      <c r="BA39" s="15" t="str">
        <f>(IFERROR(VLOOKUP(#REF!,#REF!,7,FALSE),IFERROR(VLOOKUP(#REF!,#REF!,7,FALSE),"")))</f>
        <v/>
      </c>
    </row>
    <row r="40" spans="1:53" s="15" customFormat="1" ht="25.5" customHeight="1" thickTop="1" x14ac:dyDescent="0.3">
      <c r="A40" s="137"/>
      <c r="B40" s="134"/>
      <c r="C40" s="228"/>
      <c r="D40" s="227"/>
      <c r="E40" s="179"/>
      <c r="F40" s="50"/>
      <c r="G40" s="50"/>
      <c r="H40" s="50"/>
      <c r="I40" s="51"/>
      <c r="J40" s="116" t="s">
        <v>61</v>
      </c>
      <c r="K40" s="143"/>
      <c r="L40" s="127"/>
      <c r="M40" s="125"/>
      <c r="N40" s="125"/>
      <c r="O40" s="125"/>
      <c r="P40" s="126" t="str">
        <f>(IFERROR(VLOOKUP(K40,[2]Sampling!$A$2:$D$995,4,FALSE),IFERROR(VLOOKUP(K40,'[2]Other Queries'!$A$2:$E$1000,5,FALSE),IFERROR(VLOOKUP(K40,'[2]Statement Confirmation'!$A$2:$F$1000,6,FALSE),""))))</f>
        <v/>
      </c>
      <c r="Q40" s="117"/>
      <c r="R40" s="51"/>
      <c r="S40" s="52" t="s">
        <v>61</v>
      </c>
      <c r="T40" s="53"/>
      <c r="U40" s="53"/>
      <c r="V40" s="54"/>
      <c r="W40" s="55"/>
      <c r="X40" s="116"/>
      <c r="Y40" s="121"/>
      <c r="Z40" s="122"/>
      <c r="AA40" s="122"/>
      <c r="AB40" s="116"/>
      <c r="AC40" s="121"/>
      <c r="AD40" s="122"/>
      <c r="AE40" s="122"/>
      <c r="AF40" s="116"/>
      <c r="AG40" s="123"/>
      <c r="BA40" s="15" t="str">
        <f>(IFERROR(VLOOKUP(#REF!,#REF!,7,FALSE),IFERROR(VLOOKUP(#REF!,#REF!,7,FALSE),"")))</f>
        <v/>
      </c>
    </row>
    <row r="41" spans="1:53" s="15" customFormat="1" ht="25.5" customHeight="1" x14ac:dyDescent="0.3">
      <c r="A41" s="137"/>
      <c r="B41" s="134"/>
      <c r="C41" s="228"/>
      <c r="D41" s="227"/>
      <c r="E41" s="179"/>
      <c r="F41" s="50"/>
      <c r="G41" s="50"/>
      <c r="H41" s="50"/>
      <c r="I41" s="51"/>
      <c r="J41" s="116" t="s">
        <v>61</v>
      </c>
      <c r="K41" s="140"/>
      <c r="L41" s="125"/>
      <c r="M41" s="125"/>
      <c r="N41" s="125"/>
      <c r="O41" s="125"/>
      <c r="P41" s="126" t="str">
        <f>(IFERROR(VLOOKUP(K41,[2]Sampling!$A$2:$D$995,4,FALSE),IFERROR(VLOOKUP(K41,'[2]Other Queries'!$A$2:$E$1000,5,FALSE),IFERROR(VLOOKUP(K41,'[2]Statement Confirmation'!$A$2:$F$1000,6,FALSE),""))))</f>
        <v/>
      </c>
      <c r="Q41" s="117"/>
      <c r="R41" s="51"/>
      <c r="S41" s="52" t="s">
        <v>61</v>
      </c>
      <c r="T41" s="53"/>
      <c r="U41" s="53"/>
      <c r="V41" s="54"/>
      <c r="W41" s="55"/>
      <c r="X41" s="116"/>
      <c r="Y41" s="121"/>
      <c r="Z41" s="122"/>
      <c r="AA41" s="122"/>
      <c r="AB41" s="116"/>
      <c r="AC41" s="121"/>
      <c r="AD41" s="122"/>
      <c r="AE41" s="122"/>
      <c r="AF41" s="116"/>
      <c r="AG41" s="123"/>
      <c r="BA41" s="15" t="str">
        <f>(IFERROR(VLOOKUP(#REF!,#REF!,7,FALSE),IFERROR(VLOOKUP(#REF!,#REF!,7,FALSE),"")))</f>
        <v/>
      </c>
    </row>
    <row r="42" spans="1:53" s="15" customFormat="1" ht="25.5" customHeight="1" x14ac:dyDescent="0.3">
      <c r="A42" s="137"/>
      <c r="B42" s="134"/>
      <c r="C42" s="228"/>
      <c r="D42" s="227"/>
      <c r="E42" s="179"/>
      <c r="F42" s="50"/>
      <c r="G42" s="50"/>
      <c r="H42" s="50"/>
      <c r="I42" s="51"/>
      <c r="J42" s="116" t="s">
        <v>61</v>
      </c>
      <c r="K42" s="128"/>
      <c r="L42" s="127"/>
      <c r="M42" s="125"/>
      <c r="N42" s="125"/>
      <c r="O42" s="125"/>
      <c r="P42" s="126" t="str">
        <f>(IFERROR(VLOOKUP(K42,[2]Sampling!$A$2:$D$995,4,FALSE),IFERROR(VLOOKUP(K42,'[2]Other Queries'!$A$2:$E$1000,5,FALSE),IFERROR(VLOOKUP(K42,'[2]Statement Confirmation'!$A$2:$F$1000,6,FALSE),""))))</f>
        <v/>
      </c>
      <c r="Q42" s="117"/>
      <c r="R42" s="51"/>
      <c r="S42" s="52" t="s">
        <v>61</v>
      </c>
      <c r="T42" s="53"/>
      <c r="U42" s="53"/>
      <c r="V42" s="54"/>
      <c r="W42" s="55"/>
      <c r="X42" s="116"/>
      <c r="Y42" s="121"/>
      <c r="Z42" s="122"/>
      <c r="AA42" s="122"/>
      <c r="AB42" s="116"/>
      <c r="AC42" s="121"/>
      <c r="AD42" s="122"/>
      <c r="AE42" s="122"/>
      <c r="AF42" s="116"/>
      <c r="AG42" s="123"/>
      <c r="BA42" s="15" t="str">
        <f>(IFERROR(VLOOKUP(#REF!,#REF!,7,FALSE),IFERROR(VLOOKUP(#REF!,#REF!,7,FALSE),"")))</f>
        <v/>
      </c>
    </row>
    <row r="43" spans="1:53" s="15" customFormat="1" ht="25.5" customHeight="1" x14ac:dyDescent="0.3">
      <c r="A43" s="137"/>
      <c r="B43" s="134"/>
      <c r="C43" s="228"/>
      <c r="D43" s="227"/>
      <c r="E43" s="179"/>
      <c r="F43" s="50"/>
      <c r="G43" s="50"/>
      <c r="H43" s="50"/>
      <c r="I43" s="51"/>
      <c r="J43" s="116" t="s">
        <v>61</v>
      </c>
      <c r="K43" s="138"/>
      <c r="L43" s="127"/>
      <c r="M43" s="125"/>
      <c r="N43" s="125"/>
      <c r="O43" s="125"/>
      <c r="P43" s="126" t="str">
        <f>(IFERROR(VLOOKUP(K43,[2]Sampling!$A$2:$D$995,4,FALSE),IFERROR(VLOOKUP(K43,'[2]Other Queries'!$A$2:$E$1000,5,FALSE),IFERROR(VLOOKUP(K43,'[2]Statement Confirmation'!$A$2:$F$1000,6,FALSE),""))))</f>
        <v/>
      </c>
      <c r="Q43" s="117"/>
      <c r="R43" s="51"/>
      <c r="S43" s="52" t="s">
        <v>61</v>
      </c>
      <c r="T43" s="53"/>
      <c r="U43" s="53"/>
      <c r="V43" s="54"/>
      <c r="W43" s="55"/>
      <c r="X43" s="116"/>
      <c r="Y43" s="121"/>
      <c r="Z43" s="122"/>
      <c r="AA43" s="122"/>
      <c r="AB43" s="116"/>
      <c r="AC43" s="121"/>
      <c r="AD43" s="122"/>
      <c r="AE43" s="122"/>
      <c r="AF43" s="116"/>
      <c r="AG43" s="123"/>
      <c r="BA43" s="15" t="str">
        <f>(IFERROR(VLOOKUP(#REF!,#REF!,7,FALSE),IFERROR(VLOOKUP(#REF!,#REF!,7,FALSE),"")))</f>
        <v/>
      </c>
    </row>
    <row r="44" spans="1:53" s="15" customFormat="1" ht="25.5" customHeight="1" x14ac:dyDescent="0.3">
      <c r="A44" s="137"/>
      <c r="B44" s="134"/>
      <c r="C44" s="228"/>
      <c r="D44" s="227"/>
      <c r="E44" s="179"/>
      <c r="F44" s="50"/>
      <c r="G44" s="50"/>
      <c r="H44" s="50"/>
      <c r="I44" s="51"/>
      <c r="J44" s="116" t="s">
        <v>61</v>
      </c>
      <c r="K44" s="130"/>
      <c r="L44" s="125"/>
      <c r="M44" s="125"/>
      <c r="N44" s="125"/>
      <c r="O44" s="125"/>
      <c r="P44" s="126" t="str">
        <f>(IFERROR(VLOOKUP(K44,[2]Sampling!$A$2:$D$995,4,FALSE),IFERROR(VLOOKUP(K44,'[2]Other Queries'!$A$2:$E$1000,5,FALSE),IFERROR(VLOOKUP(K44,'[2]Statement Confirmation'!$A$2:$F$1000,6,FALSE),""))))</f>
        <v/>
      </c>
      <c r="Q44" s="117"/>
      <c r="R44" s="51"/>
      <c r="S44" s="52" t="s">
        <v>61</v>
      </c>
      <c r="T44" s="53"/>
      <c r="U44" s="53"/>
      <c r="V44" s="54"/>
      <c r="W44" s="55"/>
      <c r="X44" s="116"/>
      <c r="Y44" s="121"/>
      <c r="Z44" s="122"/>
      <c r="AA44" s="122"/>
      <c r="AB44" s="116"/>
      <c r="AC44" s="121"/>
      <c r="AD44" s="122"/>
      <c r="AE44" s="122"/>
      <c r="AF44" s="116"/>
      <c r="AG44" s="123"/>
      <c r="BA44" s="15" t="str">
        <f>(IFERROR(VLOOKUP(#REF!,#REF!,7,FALSE),IFERROR(VLOOKUP(#REF!,#REF!,7,FALSE),"")))</f>
        <v/>
      </c>
    </row>
    <row r="45" spans="1:53" s="15" customFormat="1" ht="31.5" customHeight="1" x14ac:dyDescent="0.3">
      <c r="A45" s="137"/>
      <c r="B45" s="134"/>
      <c r="C45" s="228"/>
      <c r="D45" s="227"/>
      <c r="E45" s="179"/>
      <c r="F45" s="50"/>
      <c r="G45" s="50"/>
      <c r="H45" s="50"/>
      <c r="I45" s="51"/>
      <c r="J45" s="116" t="s">
        <v>61</v>
      </c>
      <c r="K45" s="135"/>
      <c r="L45" s="127"/>
      <c r="M45" s="125"/>
      <c r="N45" s="125"/>
      <c r="O45" s="125"/>
      <c r="P45" s="126" t="str">
        <f>(IFERROR(VLOOKUP(K45,[2]Sampling!$A$2:$D$995,4,FALSE),IFERROR(VLOOKUP(K45,'[2]Other Queries'!$A$2:$E$1000,5,FALSE),IFERROR(VLOOKUP(K45,'[2]Statement Confirmation'!$A$2:$F$1000,6,FALSE),""))))</f>
        <v/>
      </c>
      <c r="Q45" s="117"/>
      <c r="R45" s="51"/>
      <c r="S45" s="52" t="s">
        <v>61</v>
      </c>
      <c r="T45" s="53"/>
      <c r="U45" s="53"/>
      <c r="V45" s="54"/>
      <c r="W45" s="55"/>
      <c r="X45" s="116"/>
      <c r="Y45" s="121"/>
      <c r="Z45" s="122"/>
      <c r="AA45" s="122"/>
      <c r="AB45" s="116"/>
      <c r="AC45" s="121"/>
      <c r="AD45" s="122"/>
      <c r="AE45" s="122"/>
      <c r="AF45" s="116"/>
      <c r="AG45" s="123"/>
      <c r="BA45" s="15" t="str">
        <f>(IFERROR(VLOOKUP(#REF!,#REF!,7,FALSE),IFERROR(VLOOKUP(#REF!,#REF!,7,FALSE),"")))</f>
        <v/>
      </c>
    </row>
    <row r="46" spans="1:53" s="15" customFormat="1" ht="31.5" customHeight="1" x14ac:dyDescent="0.3">
      <c r="A46" s="137"/>
      <c r="B46" s="134"/>
      <c r="C46" s="228"/>
      <c r="D46" s="227"/>
      <c r="E46" s="179"/>
      <c r="F46" s="50"/>
      <c r="G46" s="50"/>
      <c r="H46" s="50"/>
      <c r="I46" s="51"/>
      <c r="J46" s="116" t="s">
        <v>61</v>
      </c>
      <c r="K46" s="160"/>
      <c r="L46" s="125"/>
      <c r="M46" s="125"/>
      <c r="N46" s="125"/>
      <c r="O46" s="125"/>
      <c r="P46" s="126" t="str">
        <f>(IFERROR(VLOOKUP(K46,[2]Sampling!$A$2:$D$995,4,FALSE),IFERROR(VLOOKUP(K46,'[2]Other Queries'!$A$2:$E$1000,5,FALSE),IFERROR(VLOOKUP(K46,'[2]Statement Confirmation'!$A$2:$F$1000,6,FALSE),""))))</f>
        <v/>
      </c>
      <c r="Q46" s="117"/>
      <c r="R46" s="51"/>
      <c r="S46" s="52" t="s">
        <v>61</v>
      </c>
      <c r="T46" s="53"/>
      <c r="U46" s="53"/>
      <c r="V46" s="54"/>
      <c r="W46" s="55"/>
      <c r="X46" s="116"/>
      <c r="Y46" s="121"/>
      <c r="Z46" s="122"/>
      <c r="AA46" s="122"/>
      <c r="AB46" s="116"/>
      <c r="AC46" s="121"/>
      <c r="AD46" s="122"/>
      <c r="AE46" s="122"/>
      <c r="AF46" s="116"/>
      <c r="AG46" s="123"/>
      <c r="BA46" s="15" t="str">
        <f>(IFERROR(VLOOKUP(#REF!,#REF!,7,FALSE),IFERROR(VLOOKUP(#REF!,#REF!,7,FALSE),"")))</f>
        <v/>
      </c>
    </row>
    <row r="47" spans="1:53" s="15" customFormat="1" ht="31.5" customHeight="1" x14ac:dyDescent="0.3">
      <c r="A47" s="137"/>
      <c r="B47" s="134"/>
      <c r="C47" s="228"/>
      <c r="D47" s="227"/>
      <c r="E47" s="179"/>
      <c r="F47" s="50"/>
      <c r="G47" s="50"/>
      <c r="H47" s="50"/>
      <c r="I47" s="51"/>
      <c r="J47" s="116" t="s">
        <v>61</v>
      </c>
      <c r="K47" s="160"/>
      <c r="L47" s="125"/>
      <c r="M47" s="125"/>
      <c r="N47" s="125"/>
      <c r="O47" s="125"/>
      <c r="P47" s="126" t="str">
        <f>(IFERROR(VLOOKUP(K47,[2]Sampling!$A$2:$D$995,4,FALSE),IFERROR(VLOOKUP(K47,'[2]Other Queries'!$A$2:$E$1000,5,FALSE),IFERROR(VLOOKUP(K47,'[2]Statement Confirmation'!$A$2:$F$1000,6,FALSE),""))))</f>
        <v/>
      </c>
      <c r="Q47" s="117"/>
      <c r="R47" s="51"/>
      <c r="S47" s="52" t="s">
        <v>61</v>
      </c>
      <c r="T47" s="53"/>
      <c r="U47" s="53"/>
      <c r="V47" s="54"/>
      <c r="W47" s="55"/>
      <c r="X47" s="116"/>
      <c r="Y47" s="121"/>
      <c r="Z47" s="122"/>
      <c r="AA47" s="122"/>
      <c r="AB47" s="116"/>
      <c r="AC47" s="121"/>
      <c r="AD47" s="122"/>
      <c r="AE47" s="122"/>
      <c r="AF47" s="116"/>
      <c r="AG47" s="123"/>
      <c r="BA47" s="15" t="str">
        <f>(IFERROR(VLOOKUP(#REF!,#REF!,7,FALSE),IFERROR(VLOOKUP(#REF!,#REF!,7,FALSE),"")))</f>
        <v/>
      </c>
    </row>
    <row r="48" spans="1:53" s="15" customFormat="1" ht="25.5" customHeight="1" x14ac:dyDescent="0.3">
      <c r="A48" s="137"/>
      <c r="B48" s="134"/>
      <c r="C48" s="228"/>
      <c r="D48" s="227"/>
      <c r="E48" s="179"/>
      <c r="F48" s="50"/>
      <c r="G48" s="50"/>
      <c r="H48" s="50"/>
      <c r="I48" s="51"/>
      <c r="J48" s="116" t="s">
        <v>61</v>
      </c>
      <c r="K48" s="138"/>
      <c r="L48" s="127"/>
      <c r="M48" s="125"/>
      <c r="N48" s="125"/>
      <c r="O48" s="125"/>
      <c r="P48" s="126" t="str">
        <f>(IFERROR(VLOOKUP(K48,[2]Sampling!$A$2:$D$995,4,FALSE),IFERROR(VLOOKUP(K48,'[2]Other Queries'!$A$2:$E$1000,5,FALSE),IFERROR(VLOOKUP(K48,'[2]Statement Confirmation'!$A$2:$F$1000,6,FALSE),""))))</f>
        <v/>
      </c>
      <c r="Q48" s="117"/>
      <c r="R48" s="51"/>
      <c r="S48" s="52" t="s">
        <v>61</v>
      </c>
      <c r="T48" s="53"/>
      <c r="U48" s="53"/>
      <c r="V48" s="54"/>
      <c r="W48" s="55"/>
      <c r="X48" s="116"/>
      <c r="Y48" s="121"/>
      <c r="Z48" s="122"/>
      <c r="AA48" s="122"/>
      <c r="AB48" s="116"/>
      <c r="AC48" s="121"/>
      <c r="AD48" s="122"/>
      <c r="AE48" s="122"/>
      <c r="AF48" s="116"/>
      <c r="AG48" s="123"/>
      <c r="BA48" s="15" t="str">
        <f>(IFERROR(VLOOKUP(#REF!,#REF!,7,FALSE),IFERROR(VLOOKUP(#REF!,#REF!,7,FALSE),"")))</f>
        <v/>
      </c>
    </row>
    <row r="49" spans="1:53" s="15" customFormat="1" ht="25.5" customHeight="1" x14ac:dyDescent="0.3">
      <c r="A49" s="137"/>
      <c r="B49" s="134"/>
      <c r="C49" s="228"/>
      <c r="D49" s="227"/>
      <c r="E49" s="179"/>
      <c r="F49" s="50"/>
      <c r="G49" s="50"/>
      <c r="H49" s="50"/>
      <c r="I49" s="51"/>
      <c r="J49" s="116" t="s">
        <v>61</v>
      </c>
      <c r="K49" s="170"/>
      <c r="L49" s="127"/>
      <c r="M49" s="125"/>
      <c r="N49" s="125"/>
      <c r="O49" s="125"/>
      <c r="P49" s="126" t="str">
        <f>(IFERROR(VLOOKUP(K49,[2]Sampling!$A$2:$D$995,4,FALSE),IFERROR(VLOOKUP(K49,'[2]Other Queries'!$A$2:$E$1000,5,FALSE),IFERROR(VLOOKUP(K49,'[2]Statement Confirmation'!$A$2:$F$1000,6,FALSE),""))))</f>
        <v/>
      </c>
      <c r="Q49" s="117"/>
      <c r="R49" s="51"/>
      <c r="S49" s="52" t="s">
        <v>61</v>
      </c>
      <c r="T49" s="53"/>
      <c r="U49" s="53"/>
      <c r="V49" s="54"/>
      <c r="W49" s="55"/>
      <c r="X49" s="116"/>
      <c r="Y49" s="121"/>
      <c r="Z49" s="122"/>
      <c r="AA49" s="122"/>
      <c r="AB49" s="116"/>
      <c r="AC49" s="121"/>
      <c r="AD49" s="122"/>
      <c r="AE49" s="122"/>
      <c r="AF49" s="116"/>
      <c r="AG49" s="123"/>
      <c r="BA49" s="15" t="str">
        <f>(IFERROR(VLOOKUP(#REF!,#REF!,7,FALSE),IFERROR(VLOOKUP(#REF!,#REF!,7,FALSE),"")))</f>
        <v/>
      </c>
    </row>
    <row r="50" spans="1:53" s="15" customFormat="1" ht="25.5" customHeight="1" x14ac:dyDescent="0.3">
      <c r="A50" s="137"/>
      <c r="B50" s="134"/>
      <c r="C50" s="228"/>
      <c r="D50" s="227"/>
      <c r="E50" s="179"/>
      <c r="F50" s="50"/>
      <c r="G50" s="50"/>
      <c r="H50" s="50"/>
      <c r="I50" s="51"/>
      <c r="J50" s="116" t="s">
        <v>61</v>
      </c>
      <c r="K50" s="140"/>
      <c r="L50" s="125"/>
      <c r="M50" s="125"/>
      <c r="N50" s="125"/>
      <c r="O50" s="125"/>
      <c r="P50" s="126" t="str">
        <f>(IFERROR(VLOOKUP(K50,[2]Sampling!$A$2:$D$995,4,FALSE),IFERROR(VLOOKUP(K50,'[2]Other Queries'!$A$2:$E$1000,5,FALSE),IFERROR(VLOOKUP(K50,'[2]Statement Confirmation'!$A$2:$F$1000,6,FALSE),""))))</f>
        <v/>
      </c>
      <c r="Q50" s="117"/>
      <c r="R50" s="51"/>
      <c r="S50" s="52" t="s">
        <v>61</v>
      </c>
      <c r="T50" s="53"/>
      <c r="U50" s="53"/>
      <c r="V50" s="54"/>
      <c r="W50" s="55"/>
      <c r="X50" s="116"/>
      <c r="Y50" s="121"/>
      <c r="Z50" s="122"/>
      <c r="AA50" s="122"/>
      <c r="AB50" s="116"/>
      <c r="AC50" s="121"/>
      <c r="AD50" s="122"/>
      <c r="AE50" s="122"/>
      <c r="AF50" s="116"/>
      <c r="AG50" s="123"/>
      <c r="BA50" s="15" t="str">
        <f>(IFERROR(VLOOKUP(#REF!,#REF!,7,FALSE),IFERROR(VLOOKUP(#REF!,#REF!,7,FALSE),"")))</f>
        <v/>
      </c>
    </row>
    <row r="51" spans="1:53" s="15" customFormat="1" ht="25.5" customHeight="1" x14ac:dyDescent="0.3">
      <c r="A51" s="137"/>
      <c r="B51" s="134"/>
      <c r="C51" s="228"/>
      <c r="D51" s="227"/>
      <c r="E51" s="179"/>
      <c r="F51" s="50"/>
      <c r="G51" s="50"/>
      <c r="H51" s="50"/>
      <c r="I51" s="51"/>
      <c r="J51" s="116" t="s">
        <v>61</v>
      </c>
      <c r="K51" s="138"/>
      <c r="L51" s="127"/>
      <c r="M51" s="125"/>
      <c r="N51" s="125"/>
      <c r="O51" s="125"/>
      <c r="P51" s="126" t="str">
        <f>(IFERROR(VLOOKUP(K51,[2]Sampling!$A$2:$D$995,4,FALSE),IFERROR(VLOOKUP(K51,'[2]Other Queries'!$A$2:$E$1000,5,FALSE),IFERROR(VLOOKUP(K51,'[2]Statement Confirmation'!$A$2:$F$1000,6,FALSE),""))))</f>
        <v/>
      </c>
      <c r="Q51" s="117"/>
      <c r="R51" s="51"/>
      <c r="S51" s="52" t="s">
        <v>61</v>
      </c>
      <c r="T51" s="53"/>
      <c r="U51" s="53"/>
      <c r="V51" s="54"/>
      <c r="W51" s="55"/>
      <c r="X51" s="116"/>
      <c r="Y51" s="121"/>
      <c r="Z51" s="122"/>
      <c r="AA51" s="122"/>
      <c r="AB51" s="116"/>
      <c r="AC51" s="121"/>
      <c r="AD51" s="122"/>
      <c r="AE51" s="122"/>
      <c r="AF51" s="116"/>
      <c r="AG51" s="123"/>
      <c r="BA51" s="15" t="str">
        <f>(IFERROR(VLOOKUP(#REF!,#REF!,7,FALSE),IFERROR(VLOOKUP(#REF!,#REF!,7,FALSE),"")))</f>
        <v/>
      </c>
    </row>
    <row r="52" spans="1:53" s="15" customFormat="1" ht="25.5" customHeight="1" x14ac:dyDescent="0.3">
      <c r="A52" s="137"/>
      <c r="B52" s="134"/>
      <c r="C52" s="228"/>
      <c r="D52" s="227"/>
      <c r="E52" s="179"/>
      <c r="F52" s="50"/>
      <c r="G52" s="50"/>
      <c r="H52" s="50"/>
      <c r="I52" s="51"/>
      <c r="J52" s="116" t="s">
        <v>61</v>
      </c>
      <c r="K52" s="138"/>
      <c r="L52" s="127"/>
      <c r="M52" s="125"/>
      <c r="N52" s="125"/>
      <c r="O52" s="125"/>
      <c r="P52" s="126" t="str">
        <f>(IFERROR(VLOOKUP(K52,[2]Sampling!$A$2:$D$995,4,FALSE),IFERROR(VLOOKUP(K52,'[2]Other Queries'!$A$2:$E$1000,5,FALSE),IFERROR(VLOOKUP(K52,'[2]Statement Confirmation'!$A$2:$F$1000,6,FALSE),""))))</f>
        <v/>
      </c>
      <c r="Q52" s="117"/>
      <c r="R52" s="51"/>
      <c r="S52" s="52" t="s">
        <v>61</v>
      </c>
      <c r="T52" s="53"/>
      <c r="U52" s="53"/>
      <c r="V52" s="54"/>
      <c r="W52" s="55"/>
      <c r="X52" s="116"/>
      <c r="Y52" s="121"/>
      <c r="Z52" s="122"/>
      <c r="AA52" s="122"/>
      <c r="AB52" s="116"/>
      <c r="AC52" s="121"/>
      <c r="AD52" s="122"/>
      <c r="AE52" s="122"/>
      <c r="AF52" s="116"/>
      <c r="AG52" s="123"/>
      <c r="BA52" s="15" t="str">
        <f>(IFERROR(VLOOKUP(#REF!,#REF!,7,FALSE),IFERROR(VLOOKUP(#REF!,#REF!,7,FALSE),"")))</f>
        <v/>
      </c>
    </row>
    <row r="53" spans="1:53" s="15" customFormat="1" ht="25.5" customHeight="1" x14ac:dyDescent="0.3">
      <c r="A53" s="181"/>
      <c r="B53" s="178"/>
      <c r="C53" s="178"/>
      <c r="D53" s="178"/>
      <c r="E53" s="179"/>
      <c r="F53" s="50"/>
      <c r="G53" s="50"/>
      <c r="H53" s="50"/>
      <c r="I53" s="51"/>
      <c r="J53" s="116" t="s">
        <v>61</v>
      </c>
      <c r="K53" s="128"/>
      <c r="L53" s="127"/>
      <c r="M53" s="125"/>
      <c r="N53" s="125"/>
      <c r="O53" s="125"/>
      <c r="P53" s="126" t="str">
        <f>(IFERROR(VLOOKUP(K53,[2]Sampling!$A$2:$D$995,4,FALSE),IFERROR(VLOOKUP(K53,'[2]Other Queries'!$A$2:$E$1000,5,FALSE),IFERROR(VLOOKUP(K53,'[2]Statement Confirmation'!$A$2:$F$1000,6,FALSE),""))))</f>
        <v/>
      </c>
      <c r="Q53" s="117"/>
      <c r="R53" s="51"/>
      <c r="S53" s="52" t="s">
        <v>61</v>
      </c>
      <c r="T53" s="53"/>
      <c r="U53" s="53"/>
      <c r="V53" s="54"/>
      <c r="W53" s="55"/>
      <c r="X53" s="116"/>
      <c r="Y53" s="121"/>
      <c r="Z53" s="122"/>
      <c r="AA53" s="122"/>
      <c r="AB53" s="116"/>
      <c r="AC53" s="121"/>
      <c r="AD53" s="122"/>
      <c r="AE53" s="122"/>
      <c r="AF53" s="116"/>
      <c r="AG53" s="123"/>
      <c r="BA53" s="15" t="str">
        <f>(IFERROR(VLOOKUP(#REF!,#REF!,7,FALSE),IFERROR(VLOOKUP(#REF!,#REF!,7,FALSE),"")))</f>
        <v/>
      </c>
    </row>
    <row r="54" spans="1:53" s="15" customFormat="1" ht="25.5" customHeight="1" x14ac:dyDescent="0.3">
      <c r="A54" s="181"/>
      <c r="B54" s="178"/>
      <c r="C54" s="178"/>
      <c r="D54" s="178"/>
      <c r="E54" s="179"/>
      <c r="F54" s="50"/>
      <c r="G54" s="50"/>
      <c r="H54" s="50"/>
      <c r="I54" s="51"/>
      <c r="J54" s="116" t="s">
        <v>61</v>
      </c>
      <c r="K54" s="160"/>
      <c r="L54" s="125"/>
      <c r="M54" s="125"/>
      <c r="N54" s="125"/>
      <c r="O54" s="125"/>
      <c r="P54" s="126" t="str">
        <f>(IFERROR(VLOOKUP(K54,[2]Sampling!$A$2:$D$995,4,FALSE),IFERROR(VLOOKUP(K54,'[2]Other Queries'!$A$2:$E$1000,5,FALSE),IFERROR(VLOOKUP(K54,'[2]Statement Confirmation'!$A$2:$F$1000,6,FALSE),""))))</f>
        <v/>
      </c>
      <c r="Q54" s="117"/>
      <c r="R54" s="51"/>
      <c r="S54" s="52" t="s">
        <v>61</v>
      </c>
      <c r="T54" s="53"/>
      <c r="U54" s="53"/>
      <c r="V54" s="54"/>
      <c r="W54" s="55"/>
      <c r="X54" s="116"/>
      <c r="Y54" s="121"/>
      <c r="Z54" s="122"/>
      <c r="AA54" s="122"/>
      <c r="AB54" s="116"/>
      <c r="AC54" s="121"/>
      <c r="AD54" s="122"/>
      <c r="AE54" s="122"/>
      <c r="AF54" s="116"/>
      <c r="AG54" s="123"/>
      <c r="BA54" s="15" t="str">
        <f>(IFERROR(VLOOKUP(#REF!,#REF!,7,FALSE),IFERROR(VLOOKUP(#REF!,#REF!,7,FALSE),"")))</f>
        <v/>
      </c>
    </row>
    <row r="55" spans="1:53" s="15" customFormat="1" ht="25.5" customHeight="1" x14ac:dyDescent="0.3">
      <c r="A55" s="181"/>
      <c r="B55" s="178"/>
      <c r="C55" s="178"/>
      <c r="D55" s="178"/>
      <c r="E55" s="179"/>
      <c r="F55" s="50"/>
      <c r="G55" s="50"/>
      <c r="H55" s="50"/>
      <c r="I55" s="51"/>
      <c r="J55" s="116" t="s">
        <v>61</v>
      </c>
      <c r="K55" s="128"/>
      <c r="L55" s="127"/>
      <c r="M55" s="125"/>
      <c r="N55" s="125"/>
      <c r="O55" s="125"/>
      <c r="P55" s="126" t="str">
        <f>(IFERROR(VLOOKUP(K55,[2]Sampling!$A$2:$D$995,4,FALSE),IFERROR(VLOOKUP(K55,'[2]Other Queries'!$A$2:$E$1000,5,FALSE),IFERROR(VLOOKUP(K55,'[2]Statement Confirmation'!$A$2:$F$1000,6,FALSE),""))))</f>
        <v/>
      </c>
      <c r="Q55" s="117"/>
      <c r="R55" s="51"/>
      <c r="S55" s="52" t="s">
        <v>61</v>
      </c>
      <c r="T55" s="53"/>
      <c r="U55" s="53"/>
      <c r="V55" s="54"/>
      <c r="W55" s="55"/>
      <c r="X55" s="116"/>
      <c r="Y55" s="121"/>
      <c r="Z55" s="122"/>
      <c r="AA55" s="122"/>
      <c r="AB55" s="116"/>
      <c r="AC55" s="121"/>
      <c r="AD55" s="122"/>
      <c r="AE55" s="122"/>
      <c r="AF55" s="116"/>
      <c r="AG55" s="123"/>
      <c r="BA55" s="15" t="str">
        <f>(IFERROR(VLOOKUP(#REF!,#REF!,7,FALSE),IFERROR(VLOOKUP(#REF!,#REF!,7,FALSE),"")))</f>
        <v/>
      </c>
    </row>
    <row r="56" spans="1:53" s="15" customFormat="1" ht="25.5" customHeight="1" x14ac:dyDescent="0.3">
      <c r="A56" s="181"/>
      <c r="B56" s="178"/>
      <c r="C56" s="178"/>
      <c r="D56" s="178"/>
      <c r="E56" s="179"/>
      <c r="F56" s="50"/>
      <c r="G56" s="50"/>
      <c r="H56" s="50"/>
      <c r="I56" s="51"/>
      <c r="J56" s="116" t="s">
        <v>61</v>
      </c>
      <c r="K56" s="138"/>
      <c r="L56" s="127"/>
      <c r="M56" s="125"/>
      <c r="N56" s="125"/>
      <c r="O56" s="125"/>
      <c r="P56" s="126" t="str">
        <f>(IFERROR(VLOOKUP(K56,[2]Sampling!$A$2:$D$995,4,FALSE),IFERROR(VLOOKUP(K56,'[2]Other Queries'!$A$2:$E$1000,5,FALSE),IFERROR(VLOOKUP(K56,'[2]Statement Confirmation'!$A$2:$F$1000,6,FALSE),""))))</f>
        <v/>
      </c>
      <c r="Q56" s="117"/>
      <c r="R56" s="51"/>
      <c r="S56" s="52" t="s">
        <v>61</v>
      </c>
      <c r="T56" s="53"/>
      <c r="U56" s="53"/>
      <c r="V56" s="54"/>
      <c r="W56" s="55"/>
      <c r="X56" s="116"/>
      <c r="Y56" s="121"/>
      <c r="Z56" s="122"/>
      <c r="AA56" s="122"/>
      <c r="AB56" s="116"/>
      <c r="AC56" s="121"/>
      <c r="AD56" s="122"/>
      <c r="AE56" s="122"/>
      <c r="AF56" s="116"/>
      <c r="AG56" s="123"/>
      <c r="BA56" s="15" t="str">
        <f>(IFERROR(VLOOKUP(#REF!,#REF!,7,FALSE),IFERROR(VLOOKUP(#REF!,#REF!,7,FALSE),"")))</f>
        <v/>
      </c>
    </row>
    <row r="57" spans="1:53" s="15" customFormat="1" ht="36.75" customHeight="1" x14ac:dyDescent="0.3">
      <c r="A57" s="181"/>
      <c r="B57" s="178"/>
      <c r="C57" s="178"/>
      <c r="D57" s="178"/>
      <c r="E57" s="179"/>
      <c r="F57" s="50"/>
      <c r="G57" s="50"/>
      <c r="H57" s="50"/>
      <c r="I57" s="51"/>
      <c r="J57" s="116" t="s">
        <v>61</v>
      </c>
      <c r="K57" s="128"/>
      <c r="L57" s="127"/>
      <c r="M57" s="125"/>
      <c r="N57" s="125"/>
      <c r="O57" s="125"/>
      <c r="P57" s="126" t="str">
        <f>(IFERROR(VLOOKUP(K57,[2]Sampling!$A$2:$D$995,4,FALSE),IFERROR(VLOOKUP(K57,'[2]Other Queries'!$A$2:$E$1000,5,FALSE),IFERROR(VLOOKUP(K57,'[2]Statement Confirmation'!$A$2:$F$1000,6,FALSE),""))))</f>
        <v/>
      </c>
      <c r="Q57" s="117"/>
      <c r="R57" s="51"/>
      <c r="S57" s="52" t="s">
        <v>61</v>
      </c>
      <c r="T57" s="53"/>
      <c r="U57" s="53"/>
      <c r="V57" s="54"/>
      <c r="W57" s="55"/>
      <c r="X57" s="116"/>
      <c r="Y57" s="121"/>
      <c r="Z57" s="122"/>
      <c r="AA57" s="122"/>
      <c r="AB57" s="116"/>
      <c r="AC57" s="121"/>
      <c r="AD57" s="122"/>
      <c r="AE57" s="122"/>
      <c r="AF57" s="116"/>
      <c r="AG57" s="123"/>
      <c r="BA57" s="15" t="str">
        <f>(IFERROR(VLOOKUP(#REF!,#REF!,7,FALSE),IFERROR(VLOOKUP(#REF!,#REF!,7,FALSE),"")))</f>
        <v/>
      </c>
    </row>
    <row r="58" spans="1:53" s="15" customFormat="1" ht="25.5" customHeight="1" x14ac:dyDescent="0.3">
      <c r="A58" s="181"/>
      <c r="B58" s="178"/>
      <c r="C58" s="178"/>
      <c r="D58" s="178"/>
      <c r="E58" s="179"/>
      <c r="F58" s="50"/>
      <c r="G58" s="50"/>
      <c r="H58" s="50"/>
      <c r="I58" s="51"/>
      <c r="J58" s="116" t="s">
        <v>61</v>
      </c>
      <c r="K58" s="128"/>
      <c r="L58" s="127"/>
      <c r="M58" s="125"/>
      <c r="N58" s="125"/>
      <c r="O58" s="125"/>
      <c r="P58" s="126" t="str">
        <f>(IFERROR(VLOOKUP(K58,[2]Sampling!$A$2:$D$995,4,FALSE),IFERROR(VLOOKUP(K58,'[2]Other Queries'!$A$2:$E$1000,5,FALSE),IFERROR(VLOOKUP(K58,'[2]Statement Confirmation'!$A$2:$F$1000,6,FALSE),""))))</f>
        <v/>
      </c>
      <c r="Q58" s="117"/>
      <c r="R58" s="51"/>
      <c r="S58" s="52" t="s">
        <v>61</v>
      </c>
      <c r="T58" s="53"/>
      <c r="U58" s="53"/>
      <c r="V58" s="54"/>
      <c r="W58" s="55"/>
      <c r="X58" s="116"/>
      <c r="Y58" s="121"/>
      <c r="Z58" s="122"/>
      <c r="AA58" s="122"/>
      <c r="AB58" s="116"/>
      <c r="AC58" s="121"/>
      <c r="AD58" s="122"/>
      <c r="AE58" s="122"/>
      <c r="AF58" s="116"/>
      <c r="AG58" s="123"/>
      <c r="BA58" s="15" t="str">
        <f>(IFERROR(VLOOKUP(#REF!,#REF!,7,FALSE),IFERROR(VLOOKUP(#REF!,#REF!,7,FALSE),"")))</f>
        <v/>
      </c>
    </row>
    <row r="59" spans="1:53" s="15" customFormat="1" ht="25.5" customHeight="1" x14ac:dyDescent="0.3">
      <c r="A59" s="181"/>
      <c r="B59" s="178"/>
      <c r="C59" s="178"/>
      <c r="D59" s="178"/>
      <c r="E59" s="179"/>
      <c r="F59" s="50"/>
      <c r="G59" s="50"/>
      <c r="H59" s="50"/>
      <c r="I59" s="51"/>
      <c r="J59" s="116" t="s">
        <v>78</v>
      </c>
      <c r="K59" s="160"/>
      <c r="L59" s="125"/>
      <c r="M59" s="125"/>
      <c r="N59" s="125"/>
      <c r="O59" s="125"/>
      <c r="P59" s="126" t="str">
        <f>(IFERROR(VLOOKUP(K59,[2]Sampling!$A$2:$D$995,4,FALSE),IFERROR(VLOOKUP(K59,'[2]Other Queries'!$A$2:$E$1000,5,FALSE),IFERROR(VLOOKUP(K59,'[2]Statement Confirmation'!$A$2:$F$1000,6,FALSE),""))))</f>
        <v/>
      </c>
      <c r="Q59" s="117"/>
      <c r="R59" s="51"/>
      <c r="S59" s="52" t="s">
        <v>61</v>
      </c>
      <c r="T59" s="53"/>
      <c r="U59" s="53"/>
      <c r="V59" s="54"/>
      <c r="W59" s="55"/>
      <c r="X59" s="116"/>
      <c r="Y59" s="121"/>
      <c r="Z59" s="122"/>
      <c r="AA59" s="122"/>
      <c r="AB59" s="116"/>
      <c r="AC59" s="121"/>
      <c r="AD59" s="122"/>
      <c r="AE59" s="122"/>
      <c r="AF59" s="116"/>
      <c r="AG59" s="123"/>
      <c r="BA59" s="15" t="str">
        <f>(IFERROR(VLOOKUP(#REF!,#REF!,7,FALSE),IFERROR(VLOOKUP(#REF!,#REF!,7,FALSE),"")))</f>
        <v/>
      </c>
    </row>
    <row r="60" spans="1:53" s="15" customFormat="1" ht="25.5" customHeight="1" x14ac:dyDescent="0.3">
      <c r="A60" s="181"/>
      <c r="B60" s="178"/>
      <c r="C60" s="178"/>
      <c r="D60" s="178"/>
      <c r="E60" s="179"/>
      <c r="F60" s="50"/>
      <c r="G60" s="50"/>
      <c r="H60" s="50"/>
      <c r="I60" s="51"/>
      <c r="J60" s="116" t="s">
        <v>61</v>
      </c>
      <c r="K60" s="160"/>
      <c r="L60" s="125"/>
      <c r="M60" s="125"/>
      <c r="N60" s="125"/>
      <c r="O60" s="125"/>
      <c r="P60" s="126" t="str">
        <f>(IFERROR(VLOOKUP(K60,[2]Sampling!$A$2:$D$995,4,FALSE),IFERROR(VLOOKUP(K60,'[2]Other Queries'!$A$2:$E$1000,5,FALSE),IFERROR(VLOOKUP(K60,'[2]Statement Confirmation'!$A$2:$F$1000,6,FALSE),""))))</f>
        <v/>
      </c>
      <c r="Q60" s="117"/>
      <c r="R60" s="51"/>
      <c r="S60" s="52" t="s">
        <v>61</v>
      </c>
      <c r="T60" s="53"/>
      <c r="U60" s="53"/>
      <c r="V60" s="54"/>
      <c r="W60" s="55"/>
      <c r="X60" s="116"/>
      <c r="Y60" s="121"/>
      <c r="Z60" s="122"/>
      <c r="AA60" s="122"/>
      <c r="AB60" s="116"/>
      <c r="AC60" s="121"/>
      <c r="AD60" s="122"/>
      <c r="AE60" s="122"/>
      <c r="AF60" s="116"/>
      <c r="AG60" s="123"/>
      <c r="BA60" s="15" t="str">
        <f>(IFERROR(VLOOKUP(#REF!,#REF!,7,FALSE),IFERROR(VLOOKUP(#REF!,#REF!,7,FALSE),"")))</f>
        <v/>
      </c>
    </row>
    <row r="61" spans="1:53" s="15" customFormat="1" ht="25.5" customHeight="1" x14ac:dyDescent="0.3">
      <c r="A61" s="181"/>
      <c r="B61" s="178"/>
      <c r="C61" s="178"/>
      <c r="D61" s="178"/>
      <c r="E61" s="179"/>
      <c r="F61" s="50"/>
      <c r="G61" s="50"/>
      <c r="H61" s="50"/>
      <c r="I61" s="51"/>
      <c r="J61" s="116" t="s">
        <v>61</v>
      </c>
      <c r="K61" s="160"/>
      <c r="L61" s="125"/>
      <c r="M61" s="125"/>
      <c r="N61" s="125"/>
      <c r="O61" s="125"/>
      <c r="P61" s="126" t="str">
        <f>(IFERROR(VLOOKUP(K61,[2]Sampling!$A$2:$D$995,4,FALSE),IFERROR(VLOOKUP(K61,'[2]Other Queries'!$A$2:$E$1000,5,FALSE),IFERROR(VLOOKUP(K61,'[2]Statement Confirmation'!$A$2:$F$1000,6,FALSE),""))))</f>
        <v/>
      </c>
      <c r="Q61" s="117"/>
      <c r="R61" s="51"/>
      <c r="S61" s="52" t="s">
        <v>61</v>
      </c>
      <c r="T61" s="53"/>
      <c r="U61" s="53"/>
      <c r="V61" s="54"/>
      <c r="W61" s="55"/>
      <c r="X61" s="116"/>
      <c r="Y61" s="121"/>
      <c r="Z61" s="122"/>
      <c r="AA61" s="122"/>
      <c r="AB61" s="116"/>
      <c r="AC61" s="121"/>
      <c r="AD61" s="122"/>
      <c r="AE61" s="122"/>
      <c r="AF61" s="116"/>
      <c r="AG61" s="123"/>
      <c r="BA61" s="15" t="str">
        <f>(IFERROR(VLOOKUP(#REF!,#REF!,7,FALSE),IFERROR(VLOOKUP(#REF!,#REF!,7,FALSE),"")))</f>
        <v/>
      </c>
    </row>
    <row r="62" spans="1:53" s="15" customFormat="1" ht="25.5" customHeight="1" x14ac:dyDescent="0.3">
      <c r="A62" s="181"/>
      <c r="B62" s="178"/>
      <c r="C62" s="178"/>
      <c r="D62" s="178"/>
      <c r="E62" s="179"/>
      <c r="F62" s="50"/>
      <c r="G62" s="50"/>
      <c r="H62" s="50"/>
      <c r="I62" s="51"/>
      <c r="J62" s="116" t="s">
        <v>61</v>
      </c>
      <c r="K62" s="160"/>
      <c r="L62" s="125"/>
      <c r="M62" s="125"/>
      <c r="N62" s="125"/>
      <c r="O62" s="125"/>
      <c r="P62" s="126" t="str">
        <f>(IFERROR(VLOOKUP(K62,[2]Sampling!$A$2:$D$995,4,FALSE),IFERROR(VLOOKUP(K62,'[2]Other Queries'!$A$2:$E$1000,5,FALSE),IFERROR(VLOOKUP(K62,'[2]Statement Confirmation'!$A$2:$F$1000,6,FALSE),""))))</f>
        <v/>
      </c>
      <c r="Q62" s="117"/>
      <c r="R62" s="51"/>
      <c r="S62" s="52" t="s">
        <v>61</v>
      </c>
      <c r="T62" s="53"/>
      <c r="U62" s="53"/>
      <c r="V62" s="54"/>
      <c r="W62" s="55"/>
      <c r="X62" s="116"/>
      <c r="Y62" s="121"/>
      <c r="Z62" s="122"/>
      <c r="AA62" s="122"/>
      <c r="AB62" s="116"/>
      <c r="AC62" s="121"/>
      <c r="AD62" s="122"/>
      <c r="AE62" s="122"/>
      <c r="AF62" s="116"/>
      <c r="AG62" s="123"/>
      <c r="BA62" s="15" t="str">
        <f>(IFERROR(VLOOKUP(#REF!,#REF!,7,FALSE),IFERROR(VLOOKUP(#REF!,#REF!,7,FALSE),"")))</f>
        <v/>
      </c>
    </row>
    <row r="63" spans="1:53" s="15" customFormat="1" ht="25.5" customHeight="1" x14ac:dyDescent="0.3">
      <c r="A63" s="181"/>
      <c r="B63" s="178"/>
      <c r="C63" s="178"/>
      <c r="D63" s="178"/>
      <c r="E63" s="179"/>
      <c r="F63" s="50"/>
      <c r="G63" s="50"/>
      <c r="H63" s="50"/>
      <c r="I63" s="51"/>
      <c r="J63" s="116" t="s">
        <v>61</v>
      </c>
      <c r="K63" s="128"/>
      <c r="L63" s="127"/>
      <c r="M63" s="125"/>
      <c r="N63" s="125"/>
      <c r="O63" s="125"/>
      <c r="P63" s="126" t="str">
        <f>(IFERROR(VLOOKUP(K63,[2]Sampling!$A$2:$D$995,4,FALSE),IFERROR(VLOOKUP(K63,'[2]Other Queries'!$A$2:$E$1000,5,FALSE),IFERROR(VLOOKUP(K63,'[2]Statement Confirmation'!$A$2:$F$1000,6,FALSE),""))))</f>
        <v/>
      </c>
      <c r="Q63" s="117"/>
      <c r="R63" s="51"/>
      <c r="S63" s="52" t="s">
        <v>61</v>
      </c>
      <c r="T63" s="53"/>
      <c r="U63" s="53"/>
      <c r="V63" s="54"/>
      <c r="W63" s="55"/>
      <c r="X63" s="116"/>
      <c r="Y63" s="121"/>
      <c r="Z63" s="122"/>
      <c r="AA63" s="122"/>
      <c r="AB63" s="116"/>
      <c r="AC63" s="121"/>
      <c r="AD63" s="122"/>
      <c r="AE63" s="122"/>
      <c r="AF63" s="116"/>
      <c r="AG63" s="123"/>
      <c r="BA63" s="15" t="str">
        <f>(IFERROR(VLOOKUP(#REF!,#REF!,7,FALSE),IFERROR(VLOOKUP(#REF!,#REF!,7,FALSE),"")))</f>
        <v/>
      </c>
    </row>
    <row r="64" spans="1:53" s="15" customFormat="1" ht="25.5" customHeight="1" x14ac:dyDescent="0.3">
      <c r="A64" s="181"/>
      <c r="B64" s="178"/>
      <c r="C64" s="178"/>
      <c r="D64" s="178"/>
      <c r="E64" s="179"/>
      <c r="F64" s="50"/>
      <c r="G64" s="50"/>
      <c r="H64" s="50"/>
      <c r="I64" s="51"/>
      <c r="J64" s="116" t="s">
        <v>61</v>
      </c>
      <c r="K64" s="138"/>
      <c r="L64" s="127"/>
      <c r="M64" s="125"/>
      <c r="N64" s="125"/>
      <c r="O64" s="125"/>
      <c r="P64" s="126" t="str">
        <f>(IFERROR(VLOOKUP(K64,[2]Sampling!$A$2:$D$995,4,FALSE),IFERROR(VLOOKUP(K64,'[2]Other Queries'!$A$2:$E$1000,5,FALSE),IFERROR(VLOOKUP(K64,'[2]Statement Confirmation'!$A$2:$F$1000,6,FALSE),""))))</f>
        <v/>
      </c>
      <c r="Q64" s="117"/>
      <c r="R64" s="51"/>
      <c r="S64" s="52" t="s">
        <v>61</v>
      </c>
      <c r="T64" s="53"/>
      <c r="U64" s="53"/>
      <c r="V64" s="54"/>
      <c r="W64" s="55"/>
      <c r="X64" s="116"/>
      <c r="Y64" s="121"/>
      <c r="Z64" s="122"/>
      <c r="AA64" s="122"/>
      <c r="AB64" s="116"/>
      <c r="AC64" s="121"/>
      <c r="AD64" s="122"/>
      <c r="AE64" s="122"/>
      <c r="AF64" s="116"/>
      <c r="AG64" s="123"/>
      <c r="BA64" s="15" t="str">
        <f>(IFERROR(VLOOKUP(#REF!,#REF!,7,FALSE),IFERROR(VLOOKUP(#REF!,#REF!,7,FALSE),"")))</f>
        <v/>
      </c>
    </row>
    <row r="65" spans="1:53" s="15" customFormat="1" ht="25.5" customHeight="1" x14ac:dyDescent="0.3">
      <c r="A65" s="181"/>
      <c r="B65" s="178"/>
      <c r="C65" s="178"/>
      <c r="D65" s="178"/>
      <c r="E65" s="179"/>
      <c r="F65" s="50"/>
      <c r="G65" s="50"/>
      <c r="H65" s="50"/>
      <c r="I65" s="51"/>
      <c r="J65" s="116" t="s">
        <v>61</v>
      </c>
      <c r="K65" s="128"/>
      <c r="L65" s="127"/>
      <c r="M65" s="125"/>
      <c r="N65" s="125"/>
      <c r="O65" s="125"/>
      <c r="P65" s="126" t="str">
        <f>(IFERROR(VLOOKUP(K65,[2]Sampling!$A$2:$D$995,4,FALSE),IFERROR(VLOOKUP(K65,'[2]Other Queries'!$A$2:$E$1000,5,FALSE),IFERROR(VLOOKUP(K65,'[2]Statement Confirmation'!$A$2:$F$1000,6,FALSE),""))))</f>
        <v/>
      </c>
      <c r="Q65" s="117"/>
      <c r="R65" s="51"/>
      <c r="S65" s="52" t="s">
        <v>61</v>
      </c>
      <c r="T65" s="53"/>
      <c r="U65" s="53"/>
      <c r="V65" s="54"/>
      <c r="W65" s="55"/>
      <c r="X65" s="116"/>
      <c r="Y65" s="121"/>
      <c r="Z65" s="122"/>
      <c r="AA65" s="122"/>
      <c r="AB65" s="116"/>
      <c r="AC65" s="121"/>
      <c r="AD65" s="122"/>
      <c r="AE65" s="122"/>
      <c r="AF65" s="116"/>
      <c r="AG65" s="123"/>
      <c r="BA65" s="15" t="str">
        <f>(IFERROR(VLOOKUP(#REF!,#REF!,7,FALSE),IFERROR(VLOOKUP(#REF!,#REF!,7,FALSE),"")))</f>
        <v/>
      </c>
    </row>
    <row r="66" spans="1:53" s="15" customFormat="1" ht="25.5" customHeight="1" x14ac:dyDescent="0.3">
      <c r="A66" s="181"/>
      <c r="B66" s="178"/>
      <c r="C66" s="178"/>
      <c r="D66" s="178"/>
      <c r="E66" s="179"/>
      <c r="F66" s="50"/>
      <c r="G66" s="50"/>
      <c r="H66" s="50"/>
      <c r="I66" s="51"/>
      <c r="J66" s="116" t="s">
        <v>61</v>
      </c>
      <c r="K66" s="128"/>
      <c r="L66" s="127"/>
      <c r="M66" s="125"/>
      <c r="N66" s="125"/>
      <c r="O66" s="125"/>
      <c r="P66" s="126" t="str">
        <f>(IFERROR(VLOOKUP(K66,[2]Sampling!$A$2:$D$995,4,FALSE),IFERROR(VLOOKUP(K66,'[2]Other Queries'!$A$2:$E$1000,5,FALSE),IFERROR(VLOOKUP(K66,'[2]Statement Confirmation'!$A$2:$F$1000,6,FALSE),""))))</f>
        <v/>
      </c>
      <c r="Q66" s="117"/>
      <c r="R66" s="51"/>
      <c r="S66" s="52" t="s">
        <v>61</v>
      </c>
      <c r="T66" s="53"/>
      <c r="U66" s="53"/>
      <c r="V66" s="54"/>
      <c r="W66" s="55"/>
      <c r="X66" s="116"/>
      <c r="Y66" s="121"/>
      <c r="Z66" s="122"/>
      <c r="AA66" s="122"/>
      <c r="AB66" s="116"/>
      <c r="AC66" s="121"/>
      <c r="AD66" s="122"/>
      <c r="AE66" s="122"/>
      <c r="AF66" s="116"/>
      <c r="AG66" s="123"/>
      <c r="BA66" s="15" t="str">
        <f>(IFERROR(VLOOKUP(#REF!,#REF!,7,FALSE),IFERROR(VLOOKUP(#REF!,#REF!,7,FALSE),"")))</f>
        <v/>
      </c>
    </row>
    <row r="67" spans="1:53" s="15" customFormat="1" ht="25.5" customHeight="1" x14ac:dyDescent="0.3">
      <c r="A67" s="181"/>
      <c r="B67" s="178"/>
      <c r="C67" s="178"/>
      <c r="D67" s="178"/>
      <c r="E67" s="179"/>
      <c r="F67" s="50"/>
      <c r="G67" s="50"/>
      <c r="H67" s="50"/>
      <c r="I67" s="51"/>
      <c r="J67" s="116" t="s">
        <v>61</v>
      </c>
      <c r="K67" s="128"/>
      <c r="L67" s="127"/>
      <c r="M67" s="125"/>
      <c r="N67" s="125"/>
      <c r="O67" s="125"/>
      <c r="P67" s="126" t="str">
        <f>(IFERROR(VLOOKUP(K67,[2]Sampling!$A$2:$D$995,4,FALSE),IFERROR(VLOOKUP(K67,'[2]Other Queries'!$A$2:$E$1000,5,FALSE),IFERROR(VLOOKUP(K67,'[2]Statement Confirmation'!$A$2:$F$1000,6,FALSE),""))))</f>
        <v/>
      </c>
      <c r="Q67" s="117"/>
      <c r="R67" s="51"/>
      <c r="S67" s="52" t="s">
        <v>61</v>
      </c>
      <c r="T67" s="53"/>
      <c r="U67" s="53"/>
      <c r="V67" s="54"/>
      <c r="W67" s="55"/>
      <c r="X67" s="116"/>
      <c r="Y67" s="121"/>
      <c r="Z67" s="122"/>
      <c r="AA67" s="122"/>
      <c r="AB67" s="116"/>
      <c r="AC67" s="121"/>
      <c r="AD67" s="122"/>
      <c r="AE67" s="122"/>
      <c r="AF67" s="116"/>
      <c r="AG67" s="123"/>
      <c r="BA67" s="15" t="str">
        <f>(IFERROR(VLOOKUP(#REF!,#REF!,7,FALSE),IFERROR(VLOOKUP(#REF!,#REF!,7,FALSE),"")))</f>
        <v/>
      </c>
    </row>
    <row r="68" spans="1:53" s="15" customFormat="1" ht="25.5" customHeight="1" x14ac:dyDescent="0.3">
      <c r="A68" s="133"/>
      <c r="B68" s="134"/>
      <c r="C68" s="228"/>
      <c r="D68" s="134"/>
      <c r="E68" s="179"/>
      <c r="F68" s="50"/>
      <c r="G68" s="50"/>
      <c r="H68" s="50"/>
      <c r="I68" s="51"/>
      <c r="J68" s="116" t="s">
        <v>61</v>
      </c>
      <c r="K68" s="171"/>
      <c r="L68" s="127"/>
      <c r="M68" s="125"/>
      <c r="N68" s="125"/>
      <c r="O68" s="125"/>
      <c r="P68" s="126" t="str">
        <f>(IFERROR(VLOOKUP(K68,[2]Sampling!$A$2:$D$995,4,FALSE),IFERROR(VLOOKUP(K68,'[2]Other Queries'!$A$2:$E$1000,5,FALSE),IFERROR(VLOOKUP(K68,'[2]Statement Confirmation'!$A$2:$F$1000,6,FALSE),""))))</f>
        <v/>
      </c>
      <c r="Q68" s="117"/>
      <c r="R68" s="51"/>
      <c r="S68" s="52" t="s">
        <v>61</v>
      </c>
      <c r="T68" s="53"/>
      <c r="U68" s="53"/>
      <c r="V68" s="54"/>
      <c r="W68" s="55"/>
      <c r="X68" s="116"/>
      <c r="Y68" s="121"/>
      <c r="Z68" s="122"/>
      <c r="AA68" s="122"/>
      <c r="AB68" s="116"/>
      <c r="AC68" s="121"/>
      <c r="AD68" s="122"/>
      <c r="AE68" s="122"/>
      <c r="AF68" s="116"/>
      <c r="AG68" s="123"/>
      <c r="BA68" s="15" t="str">
        <f>(IFERROR(VLOOKUP(#REF!,#REF!,7,FALSE),IFERROR(VLOOKUP(#REF!,#REF!,7,FALSE),"")))</f>
        <v/>
      </c>
    </row>
    <row r="69" spans="1:53" s="15" customFormat="1" ht="25.5" customHeight="1" x14ac:dyDescent="0.3">
      <c r="A69" s="133"/>
      <c r="B69" s="134"/>
      <c r="C69" s="228"/>
      <c r="D69" s="134"/>
      <c r="E69" s="179"/>
      <c r="F69" s="50"/>
      <c r="G69" s="50"/>
      <c r="H69" s="50"/>
      <c r="I69" s="51"/>
      <c r="J69" s="116" t="s">
        <v>61</v>
      </c>
      <c r="K69" s="171"/>
      <c r="L69" s="127"/>
      <c r="M69" s="125"/>
      <c r="N69" s="125"/>
      <c r="O69" s="125"/>
      <c r="P69" s="126" t="str">
        <f>(IFERROR(VLOOKUP(K69,[2]Sampling!$A$2:$D$995,4,FALSE),IFERROR(VLOOKUP(K69,'[2]Other Queries'!$A$2:$E$1000,5,FALSE),IFERROR(VLOOKUP(K69,'[2]Statement Confirmation'!$A$2:$F$1000,6,FALSE),""))))</f>
        <v/>
      </c>
      <c r="Q69" s="117"/>
      <c r="R69" s="51"/>
      <c r="S69" s="52" t="s">
        <v>61</v>
      </c>
      <c r="T69" s="53"/>
      <c r="U69" s="53"/>
      <c r="V69" s="54"/>
      <c r="W69" s="55"/>
      <c r="X69" s="116"/>
      <c r="Y69" s="121"/>
      <c r="Z69" s="122"/>
      <c r="AA69" s="122"/>
      <c r="AB69" s="116"/>
      <c r="AC69" s="121"/>
      <c r="AD69" s="122"/>
      <c r="AE69" s="122"/>
      <c r="AF69" s="116"/>
      <c r="AG69" s="123"/>
      <c r="BA69" s="15" t="str">
        <f>(IFERROR(VLOOKUP(#REF!,#REF!,7,FALSE),IFERROR(VLOOKUP(#REF!,#REF!,7,FALSE),"")))</f>
        <v/>
      </c>
    </row>
    <row r="70" spans="1:53" s="15" customFormat="1" ht="25.5" customHeight="1" x14ac:dyDescent="0.3">
      <c r="A70" s="133"/>
      <c r="B70" s="134"/>
      <c r="C70" s="228"/>
      <c r="D70" s="134"/>
      <c r="E70" s="179"/>
      <c r="F70" s="50"/>
      <c r="G70" s="50"/>
      <c r="H70" s="50"/>
      <c r="I70" s="51"/>
      <c r="J70" s="116" t="s">
        <v>61</v>
      </c>
      <c r="K70" s="170"/>
      <c r="L70" s="127"/>
      <c r="M70" s="125"/>
      <c r="N70" s="125"/>
      <c r="O70" s="125"/>
      <c r="P70" s="126" t="str">
        <f>(IFERROR(VLOOKUP(K70,[2]Sampling!$A$2:$D$995,4,FALSE),IFERROR(VLOOKUP(K70,'[2]Other Queries'!$A$2:$E$1000,5,FALSE),IFERROR(VLOOKUP(K70,'[2]Statement Confirmation'!$A$2:$F$1000,6,FALSE),""))))</f>
        <v/>
      </c>
      <c r="Q70" s="117"/>
      <c r="R70" s="51"/>
      <c r="S70" s="52" t="s">
        <v>61</v>
      </c>
      <c r="T70" s="53"/>
      <c r="U70" s="53"/>
      <c r="V70" s="54"/>
      <c r="W70" s="55"/>
      <c r="X70" s="116"/>
      <c r="Y70" s="121"/>
      <c r="Z70" s="122"/>
      <c r="AA70" s="122"/>
      <c r="AB70" s="116"/>
      <c r="AC70" s="121"/>
      <c r="AD70" s="122"/>
      <c r="AE70" s="122"/>
      <c r="AF70" s="116"/>
      <c r="AG70" s="123"/>
      <c r="BA70" s="15" t="str">
        <f>(IFERROR(VLOOKUP(#REF!,#REF!,7,FALSE),IFERROR(VLOOKUP(#REF!,#REF!,7,FALSE),"")))</f>
        <v/>
      </c>
    </row>
    <row r="71" spans="1:53" s="15" customFormat="1" ht="28.5" customHeight="1" x14ac:dyDescent="0.3">
      <c r="A71" s="133"/>
      <c r="B71" s="134"/>
      <c r="C71" s="228"/>
      <c r="D71" s="134"/>
      <c r="E71" s="179"/>
      <c r="F71" s="50"/>
      <c r="G71" s="50"/>
      <c r="H71" s="50"/>
      <c r="I71" s="51"/>
      <c r="J71" s="116" t="s">
        <v>61</v>
      </c>
      <c r="K71" s="171"/>
      <c r="L71" s="127"/>
      <c r="M71" s="125"/>
      <c r="N71" s="125"/>
      <c r="O71" s="125"/>
      <c r="P71" s="126" t="str">
        <f>(IFERROR(VLOOKUP(K71,[2]Sampling!$A$2:$D$995,4,FALSE),IFERROR(VLOOKUP(K71,'[2]Other Queries'!$A$2:$E$1000,5,FALSE),IFERROR(VLOOKUP(K71,'[2]Statement Confirmation'!$A$2:$F$1000,6,FALSE),""))))</f>
        <v/>
      </c>
      <c r="Q71" s="117"/>
      <c r="R71" s="51"/>
      <c r="S71" s="52" t="s">
        <v>61</v>
      </c>
      <c r="T71" s="53"/>
      <c r="U71" s="53"/>
      <c r="V71" s="54"/>
      <c r="W71" s="55"/>
      <c r="X71" s="116"/>
      <c r="Y71" s="121"/>
      <c r="Z71" s="122"/>
      <c r="AA71" s="122"/>
      <c r="AB71" s="116"/>
      <c r="AC71" s="121"/>
      <c r="AD71" s="122"/>
      <c r="AE71" s="122"/>
      <c r="AF71" s="116"/>
      <c r="AG71" s="123"/>
      <c r="BA71" s="15" t="str">
        <f>(IFERROR(VLOOKUP(#REF!,#REF!,7,FALSE),IFERROR(VLOOKUP(#REF!,#REF!,7,FALSE),"")))</f>
        <v/>
      </c>
    </row>
    <row r="72" spans="1:53" s="15" customFormat="1" ht="25.5" customHeight="1" x14ac:dyDescent="0.3">
      <c r="A72" s="133"/>
      <c r="B72" s="134"/>
      <c r="C72" s="228"/>
      <c r="D72" s="134"/>
      <c r="E72" s="179"/>
      <c r="F72" s="50"/>
      <c r="G72" s="50"/>
      <c r="H72" s="50"/>
      <c r="I72" s="51"/>
      <c r="J72" s="116" t="s">
        <v>61</v>
      </c>
      <c r="K72" s="174"/>
      <c r="L72" s="127"/>
      <c r="M72" s="125"/>
      <c r="N72" s="125"/>
      <c r="O72" s="125"/>
      <c r="P72" s="126" t="str">
        <f>(IFERROR(VLOOKUP(K72,[2]Sampling!$A$2:$D$995,4,FALSE),IFERROR(VLOOKUP(K72,'[2]Other Queries'!$A$2:$E$1000,5,FALSE),IFERROR(VLOOKUP(K72,'[2]Statement Confirmation'!$A$2:$F$1000,6,FALSE),""))))</f>
        <v/>
      </c>
      <c r="Q72" s="117"/>
      <c r="R72" s="51"/>
      <c r="S72" s="52" t="s">
        <v>61</v>
      </c>
      <c r="T72" s="53"/>
      <c r="U72" s="53"/>
      <c r="V72" s="54"/>
      <c r="W72" s="55"/>
      <c r="X72" s="116"/>
      <c r="Y72" s="121"/>
      <c r="Z72" s="122"/>
      <c r="AA72" s="122"/>
      <c r="AB72" s="116"/>
      <c r="AC72" s="121"/>
      <c r="AD72" s="122"/>
      <c r="AE72" s="122"/>
      <c r="AF72" s="116"/>
      <c r="AG72" s="123"/>
      <c r="BA72" s="15" t="str">
        <f>(IFERROR(VLOOKUP(#REF!,#REF!,7,FALSE),IFERROR(VLOOKUP(#REF!,#REF!,7,FALSE),"")))</f>
        <v/>
      </c>
    </row>
    <row r="73" spans="1:53" s="15" customFormat="1" ht="25.5" customHeight="1" x14ac:dyDescent="0.3">
      <c r="A73" s="133"/>
      <c r="B73" s="134"/>
      <c r="C73" s="228"/>
      <c r="D73" s="134"/>
      <c r="E73" s="179"/>
      <c r="F73" s="50"/>
      <c r="G73" s="50"/>
      <c r="H73" s="50"/>
      <c r="I73" s="51"/>
      <c r="J73" s="116" t="s">
        <v>61</v>
      </c>
      <c r="K73" s="160"/>
      <c r="L73" s="125"/>
      <c r="M73" s="125"/>
      <c r="N73" s="125"/>
      <c r="O73" s="125"/>
      <c r="P73" s="126" t="str">
        <f>(IFERROR(VLOOKUP(K73,[2]Sampling!$A$2:$D$995,4,FALSE),IFERROR(VLOOKUP(K73,'[2]Other Queries'!$A$2:$E$1000,5,FALSE),IFERROR(VLOOKUP(K73,'[2]Statement Confirmation'!$A$2:$F$1000,6,FALSE),""))))</f>
        <v/>
      </c>
      <c r="Q73" s="117"/>
      <c r="R73" s="51"/>
      <c r="S73" s="52" t="s">
        <v>61</v>
      </c>
      <c r="T73" s="53"/>
      <c r="U73" s="53"/>
      <c r="V73" s="54"/>
      <c r="W73" s="55"/>
      <c r="X73" s="116"/>
      <c r="Y73" s="121"/>
      <c r="Z73" s="122"/>
      <c r="AA73" s="122"/>
      <c r="AB73" s="116"/>
      <c r="AC73" s="121"/>
      <c r="AD73" s="122"/>
      <c r="AE73" s="122"/>
      <c r="AF73" s="116"/>
      <c r="AG73" s="123"/>
      <c r="BA73" s="15" t="str">
        <f>(IFERROR(VLOOKUP(#REF!,#REF!,7,FALSE),IFERROR(VLOOKUP(#REF!,#REF!,7,FALSE),"")))</f>
        <v/>
      </c>
    </row>
    <row r="74" spans="1:53" s="15" customFormat="1" ht="25.5" customHeight="1" x14ac:dyDescent="0.3">
      <c r="A74" s="133"/>
      <c r="B74" s="134"/>
      <c r="C74" s="228"/>
      <c r="D74" s="134"/>
      <c r="E74" s="179"/>
      <c r="F74" s="50"/>
      <c r="G74" s="50"/>
      <c r="H74" s="50"/>
      <c r="I74" s="51"/>
      <c r="J74" s="116" t="s">
        <v>61</v>
      </c>
      <c r="K74" s="160"/>
      <c r="L74" s="125"/>
      <c r="M74" s="125"/>
      <c r="N74" s="125"/>
      <c r="O74" s="125"/>
      <c r="P74" s="126" t="str">
        <f>(IFERROR(VLOOKUP(K74,[2]Sampling!$A$2:$D$995,4,FALSE),IFERROR(VLOOKUP(K74,'[2]Other Queries'!$A$2:$E$1000,5,FALSE),IFERROR(VLOOKUP(K74,'[2]Statement Confirmation'!$A$2:$F$1000,6,FALSE),""))))</f>
        <v/>
      </c>
      <c r="Q74" s="117"/>
      <c r="R74" s="51"/>
      <c r="S74" s="52" t="s">
        <v>61</v>
      </c>
      <c r="T74" s="53"/>
      <c r="U74" s="53"/>
      <c r="V74" s="54"/>
      <c r="W74" s="55"/>
      <c r="X74" s="116"/>
      <c r="Y74" s="121"/>
      <c r="Z74" s="122"/>
      <c r="AA74" s="122"/>
      <c r="AB74" s="116"/>
      <c r="AC74" s="121"/>
      <c r="AD74" s="122"/>
      <c r="AE74" s="122"/>
      <c r="AF74" s="116"/>
      <c r="AG74" s="123"/>
      <c r="BA74" s="15" t="str">
        <f>(IFERROR(VLOOKUP(#REF!,#REF!,7,FALSE),IFERROR(VLOOKUP(#REF!,#REF!,7,FALSE),"")))</f>
        <v/>
      </c>
    </row>
    <row r="75" spans="1:53" s="15" customFormat="1" ht="25.5" customHeight="1" x14ac:dyDescent="0.3">
      <c r="A75" s="133"/>
      <c r="B75" s="134"/>
      <c r="C75" s="228"/>
      <c r="D75" s="134"/>
      <c r="E75" s="179"/>
      <c r="F75" s="50"/>
      <c r="G75" s="50"/>
      <c r="H75" s="50"/>
      <c r="I75" s="51"/>
      <c r="J75" s="116" t="s">
        <v>61</v>
      </c>
      <c r="K75" s="160"/>
      <c r="L75" s="125"/>
      <c r="M75" s="125"/>
      <c r="N75" s="125"/>
      <c r="O75" s="125"/>
      <c r="P75" s="126" t="str">
        <f>(IFERROR(VLOOKUP(K75,[2]Sampling!$A$2:$D$995,4,FALSE),IFERROR(VLOOKUP(K75,'[2]Other Queries'!$A$2:$E$1000,5,FALSE),IFERROR(VLOOKUP(K75,'[2]Statement Confirmation'!$A$2:$F$1000,6,FALSE),""))))</f>
        <v/>
      </c>
      <c r="Q75" s="117"/>
      <c r="R75" s="51"/>
      <c r="S75" s="52" t="s">
        <v>61</v>
      </c>
      <c r="T75" s="53"/>
      <c r="U75" s="53"/>
      <c r="V75" s="54"/>
      <c r="W75" s="55"/>
      <c r="X75" s="116"/>
      <c r="Y75" s="121"/>
      <c r="Z75" s="122"/>
      <c r="AA75" s="122"/>
      <c r="AB75" s="116"/>
      <c r="AC75" s="121"/>
      <c r="AD75" s="122"/>
      <c r="AE75" s="122"/>
      <c r="AF75" s="116"/>
      <c r="AG75" s="123"/>
      <c r="BA75" s="15" t="str">
        <f>(IFERROR(VLOOKUP(#REF!,#REF!,7,FALSE),IFERROR(VLOOKUP(#REF!,#REF!,7,FALSE),"")))</f>
        <v/>
      </c>
    </row>
    <row r="76" spans="1:53" s="15" customFormat="1" ht="25.5" customHeight="1" x14ac:dyDescent="0.3">
      <c r="A76" s="133"/>
      <c r="B76" s="134"/>
      <c r="C76" s="228"/>
      <c r="D76" s="134"/>
      <c r="E76" s="179"/>
      <c r="F76" s="50"/>
      <c r="G76" s="50"/>
      <c r="H76" s="50"/>
      <c r="I76" s="51"/>
      <c r="J76" s="116" t="s">
        <v>61</v>
      </c>
      <c r="K76" s="160"/>
      <c r="L76" s="125"/>
      <c r="M76" s="125"/>
      <c r="N76" s="125"/>
      <c r="O76" s="125"/>
      <c r="P76" s="126" t="str">
        <f>(IFERROR(VLOOKUP(K76,[2]Sampling!$A$2:$D$995,4,FALSE),IFERROR(VLOOKUP(K76,'[2]Other Queries'!$A$2:$E$1000,5,FALSE),IFERROR(VLOOKUP(K76,'[2]Statement Confirmation'!$A$2:$F$1000,6,FALSE),""))))</f>
        <v/>
      </c>
      <c r="Q76" s="117"/>
      <c r="R76" s="51"/>
      <c r="S76" s="52" t="s">
        <v>61</v>
      </c>
      <c r="T76" s="53"/>
      <c r="U76" s="53"/>
      <c r="V76" s="54"/>
      <c r="W76" s="55"/>
      <c r="X76" s="116"/>
      <c r="Y76" s="121"/>
      <c r="Z76" s="122"/>
      <c r="AA76" s="122"/>
      <c r="AB76" s="116"/>
      <c r="AC76" s="121"/>
      <c r="AD76" s="122"/>
      <c r="AE76" s="122"/>
      <c r="AF76" s="116"/>
      <c r="AG76" s="123"/>
      <c r="BA76" s="15" t="str">
        <f>(IFERROR(VLOOKUP(#REF!,#REF!,7,FALSE),IFERROR(VLOOKUP(#REF!,#REF!,7,FALSE),"")))</f>
        <v/>
      </c>
    </row>
    <row r="77" spans="1:53" s="15" customFormat="1" ht="25.5" customHeight="1" x14ac:dyDescent="0.3">
      <c r="A77" s="133"/>
      <c r="B77" s="134"/>
      <c r="C77" s="228"/>
      <c r="D77" s="134"/>
      <c r="E77" s="179"/>
      <c r="F77" s="50"/>
      <c r="G77" s="50"/>
      <c r="H77" s="50"/>
      <c r="I77" s="51"/>
      <c r="J77" s="116" t="s">
        <v>61</v>
      </c>
      <c r="K77" s="160"/>
      <c r="L77" s="125"/>
      <c r="M77" s="125"/>
      <c r="N77" s="125"/>
      <c r="O77" s="125"/>
      <c r="P77" s="126" t="str">
        <f>(IFERROR(VLOOKUP(K77,[2]Sampling!$A$2:$D$995,4,FALSE),IFERROR(VLOOKUP(K77,'[2]Other Queries'!$A$2:$E$1000,5,FALSE),IFERROR(VLOOKUP(K77,'[2]Statement Confirmation'!$A$2:$F$1000,6,FALSE),""))))</f>
        <v/>
      </c>
      <c r="Q77" s="117"/>
      <c r="R77" s="51"/>
      <c r="S77" s="52" t="s">
        <v>61</v>
      </c>
      <c r="T77" s="53"/>
      <c r="U77" s="53"/>
      <c r="V77" s="54"/>
      <c r="W77" s="55"/>
      <c r="X77" s="116"/>
      <c r="Y77" s="121"/>
      <c r="Z77" s="122"/>
      <c r="AA77" s="122"/>
      <c r="AB77" s="116"/>
      <c r="AC77" s="121"/>
      <c r="AD77" s="122"/>
      <c r="AE77" s="122"/>
      <c r="AF77" s="116"/>
      <c r="AG77" s="123"/>
      <c r="BA77" s="15" t="str">
        <f>(IFERROR(VLOOKUP(#REF!,#REF!,7,FALSE),IFERROR(VLOOKUP(#REF!,#REF!,7,FALSE),"")))</f>
        <v/>
      </c>
    </row>
    <row r="78" spans="1:53" s="15" customFormat="1" ht="25.5" customHeight="1" x14ac:dyDescent="0.3">
      <c r="A78" s="133"/>
      <c r="B78" s="134"/>
      <c r="C78" s="228"/>
      <c r="D78" s="134"/>
      <c r="E78" s="179"/>
      <c r="F78" s="50"/>
      <c r="G78" s="50"/>
      <c r="H78" s="50"/>
      <c r="I78" s="51"/>
      <c r="J78" s="116" t="s">
        <v>61</v>
      </c>
      <c r="K78" s="172"/>
      <c r="L78" s="127"/>
      <c r="M78" s="125"/>
      <c r="N78" s="125"/>
      <c r="O78" s="125"/>
      <c r="P78" s="126" t="str">
        <f>(IFERROR(VLOOKUP(K78,[2]Sampling!$A$2:$D$995,4,FALSE),IFERROR(VLOOKUP(K78,'[2]Other Queries'!$A$2:$E$1000,5,FALSE),IFERROR(VLOOKUP(K78,'[2]Statement Confirmation'!$A$2:$F$1000,6,FALSE),""))))</f>
        <v/>
      </c>
      <c r="Q78" s="117"/>
      <c r="R78" s="51"/>
      <c r="S78" s="52" t="s">
        <v>61</v>
      </c>
      <c r="T78" s="53"/>
      <c r="U78" s="53"/>
      <c r="V78" s="54"/>
      <c r="W78" s="55"/>
      <c r="X78" s="116"/>
      <c r="Y78" s="121"/>
      <c r="Z78" s="122"/>
      <c r="AA78" s="122"/>
      <c r="AB78" s="116"/>
      <c r="AC78" s="121"/>
      <c r="AD78" s="122"/>
      <c r="AE78" s="122"/>
      <c r="AF78" s="116"/>
      <c r="AG78" s="123"/>
      <c r="BA78" s="15" t="str">
        <f>(IFERROR(VLOOKUP(#REF!,#REF!,7,FALSE),IFERROR(VLOOKUP(#REF!,#REF!,7,FALSE),"")))</f>
        <v/>
      </c>
    </row>
    <row r="79" spans="1:53" s="15" customFormat="1" ht="25.5" customHeight="1" x14ac:dyDescent="0.3">
      <c r="A79" s="133"/>
      <c r="B79" s="134"/>
      <c r="C79" s="228"/>
      <c r="D79" s="134"/>
      <c r="E79" s="179"/>
      <c r="F79" s="50"/>
      <c r="G79" s="50"/>
      <c r="H79" s="50"/>
      <c r="I79" s="51"/>
      <c r="J79" s="116" t="s">
        <v>61</v>
      </c>
      <c r="K79" s="174"/>
      <c r="L79" s="127"/>
      <c r="M79" s="125"/>
      <c r="N79" s="125"/>
      <c r="O79" s="125"/>
      <c r="P79" s="126" t="str">
        <f>(IFERROR(VLOOKUP(K79,[2]Sampling!$A$2:$D$995,4,FALSE),IFERROR(VLOOKUP(K79,'[2]Other Queries'!$A$2:$E$1000,5,FALSE),IFERROR(VLOOKUP(K79,'[2]Statement Confirmation'!$A$2:$F$1000,6,FALSE),""))))</f>
        <v/>
      </c>
      <c r="Q79" s="117"/>
      <c r="R79" s="51"/>
      <c r="S79" s="52" t="s">
        <v>61</v>
      </c>
      <c r="T79" s="53"/>
      <c r="U79" s="53"/>
      <c r="V79" s="54"/>
      <c r="W79" s="55"/>
      <c r="X79" s="116"/>
      <c r="Y79" s="121"/>
      <c r="Z79" s="122"/>
      <c r="AA79" s="122"/>
      <c r="AB79" s="116"/>
      <c r="AC79" s="121"/>
      <c r="AD79" s="122"/>
      <c r="AE79" s="122"/>
      <c r="AF79" s="116"/>
      <c r="AG79" s="123"/>
      <c r="BA79" s="15" t="str">
        <f>(IFERROR(VLOOKUP(#REF!,#REF!,7,FALSE),IFERROR(VLOOKUP(#REF!,#REF!,7,FALSE),"")))</f>
        <v/>
      </c>
    </row>
    <row r="80" spans="1:53" s="15" customFormat="1" ht="25.5" customHeight="1" x14ac:dyDescent="0.3">
      <c r="A80" s="133"/>
      <c r="B80" s="134"/>
      <c r="C80" s="228"/>
      <c r="D80" s="134"/>
      <c r="E80" s="179"/>
      <c r="F80" s="50"/>
      <c r="G80" s="50"/>
      <c r="H80" s="50"/>
      <c r="I80" s="51"/>
      <c r="J80" s="116" t="s">
        <v>61</v>
      </c>
      <c r="K80" s="172"/>
      <c r="L80" s="127"/>
      <c r="M80" s="125"/>
      <c r="N80" s="125"/>
      <c r="O80" s="125"/>
      <c r="P80" s="126" t="str">
        <f>(IFERROR(VLOOKUP(K80,[2]Sampling!$A$2:$D$995,4,FALSE),IFERROR(VLOOKUP(K80,'[2]Other Queries'!$A$2:$E$1000,5,FALSE),IFERROR(VLOOKUP(K80,'[2]Statement Confirmation'!$A$2:$F$1000,6,FALSE),""))))</f>
        <v/>
      </c>
      <c r="Q80" s="117"/>
      <c r="R80" s="51"/>
      <c r="S80" s="52" t="s">
        <v>61</v>
      </c>
      <c r="T80" s="53"/>
      <c r="U80" s="53"/>
      <c r="V80" s="54"/>
      <c r="W80" s="55"/>
      <c r="X80" s="116"/>
      <c r="Y80" s="121"/>
      <c r="Z80" s="122"/>
      <c r="AA80" s="122"/>
      <c r="AB80" s="116"/>
      <c r="AC80" s="121"/>
      <c r="AD80" s="122"/>
      <c r="AE80" s="122"/>
      <c r="AF80" s="116"/>
      <c r="AG80" s="123"/>
      <c r="BA80" s="15" t="str">
        <f>(IFERROR(VLOOKUP(#REF!,#REF!,7,FALSE),IFERROR(VLOOKUP(#REF!,#REF!,7,FALSE),"")))</f>
        <v/>
      </c>
    </row>
    <row r="81" spans="1:53" s="15" customFormat="1" ht="25.5" customHeight="1" x14ac:dyDescent="0.3">
      <c r="A81" s="133"/>
      <c r="B81" s="134"/>
      <c r="C81" s="228"/>
      <c r="D81" s="134"/>
      <c r="E81" s="179"/>
      <c r="F81" s="50"/>
      <c r="G81" s="50"/>
      <c r="H81" s="50"/>
      <c r="I81" s="51"/>
      <c r="J81" s="116" t="s">
        <v>61</v>
      </c>
      <c r="K81" s="160"/>
      <c r="L81" s="125"/>
      <c r="M81" s="125"/>
      <c r="N81" s="125"/>
      <c r="O81" s="125"/>
      <c r="P81" s="126" t="str">
        <f>(IFERROR(VLOOKUP(K81,[2]Sampling!$A$2:$D$995,4,FALSE),IFERROR(VLOOKUP(K81,'[2]Other Queries'!$A$2:$E$1000,5,FALSE),IFERROR(VLOOKUP(K81,'[2]Statement Confirmation'!$A$2:$F$1000,6,FALSE),""))))</f>
        <v/>
      </c>
      <c r="Q81" s="117"/>
      <c r="R81" s="51"/>
      <c r="S81" s="52" t="s">
        <v>61</v>
      </c>
      <c r="T81" s="53"/>
      <c r="U81" s="53"/>
      <c r="V81" s="54"/>
      <c r="W81" s="55"/>
      <c r="X81" s="116"/>
      <c r="Y81" s="121"/>
      <c r="Z81" s="122"/>
      <c r="AA81" s="122"/>
      <c r="AB81" s="116"/>
      <c r="AC81" s="121"/>
      <c r="AD81" s="122"/>
      <c r="AE81" s="122"/>
      <c r="AF81" s="116"/>
      <c r="AG81" s="123"/>
      <c r="BA81" s="15" t="str">
        <f>(IFERROR(VLOOKUP(#REF!,#REF!,7,FALSE),IFERROR(VLOOKUP(#REF!,#REF!,7,FALSE),"")))</f>
        <v/>
      </c>
    </row>
    <row r="82" spans="1:53" s="15" customFormat="1" ht="25.5" customHeight="1" x14ac:dyDescent="0.3">
      <c r="A82" s="133"/>
      <c r="B82" s="134"/>
      <c r="C82" s="228"/>
      <c r="D82" s="134"/>
      <c r="E82" s="179"/>
      <c r="F82" s="50"/>
      <c r="G82" s="50"/>
      <c r="H82" s="50"/>
      <c r="I82" s="51"/>
      <c r="J82" s="116" t="s">
        <v>61</v>
      </c>
      <c r="K82" s="176"/>
      <c r="L82" s="127"/>
      <c r="M82" s="125"/>
      <c r="N82" s="125"/>
      <c r="O82" s="125"/>
      <c r="P82" s="126" t="str">
        <f>(IFERROR(VLOOKUP(K82,[2]Sampling!$A$2:$D$995,4,FALSE),IFERROR(VLOOKUP(K82,'[2]Other Queries'!$A$2:$E$1000,5,FALSE),IFERROR(VLOOKUP(K82,'[2]Statement Confirmation'!$A$2:$F$1000,6,FALSE),""))))</f>
        <v/>
      </c>
      <c r="Q82" s="117"/>
      <c r="R82" s="51"/>
      <c r="S82" s="52" t="s">
        <v>61</v>
      </c>
      <c r="T82" s="53"/>
      <c r="U82" s="53"/>
      <c r="V82" s="54"/>
      <c r="W82" s="55"/>
      <c r="X82" s="116"/>
      <c r="Y82" s="121"/>
      <c r="Z82" s="122"/>
      <c r="AA82" s="122"/>
      <c r="AB82" s="116"/>
      <c r="AC82" s="121"/>
      <c r="AD82" s="122"/>
      <c r="AE82" s="122"/>
      <c r="AF82" s="116"/>
      <c r="AG82" s="123"/>
      <c r="BA82" s="15" t="str">
        <f>(IFERROR(VLOOKUP(#REF!,#REF!,7,FALSE),IFERROR(VLOOKUP(#REF!,#REF!,7,FALSE),"")))</f>
        <v/>
      </c>
    </row>
    <row r="83" spans="1:53" s="15" customFormat="1" ht="25.5" customHeight="1" x14ac:dyDescent="0.3">
      <c r="A83" s="133"/>
      <c r="B83" s="134"/>
      <c r="C83" s="228"/>
      <c r="D83" s="134"/>
      <c r="E83" s="179"/>
      <c r="F83" s="50"/>
      <c r="G83" s="50"/>
      <c r="H83" s="50"/>
      <c r="I83" s="51"/>
      <c r="J83" s="116" t="s">
        <v>61</v>
      </c>
      <c r="K83" s="133"/>
      <c r="L83" s="127"/>
      <c r="M83" s="125"/>
      <c r="N83" s="125"/>
      <c r="O83" s="125"/>
      <c r="P83" s="126" t="str">
        <f>(IFERROR(VLOOKUP(K83,[2]Sampling!$A$2:$D$995,4,FALSE),IFERROR(VLOOKUP(K83,'[2]Other Queries'!$A$2:$E$1000,5,FALSE),IFERROR(VLOOKUP(K83,'[2]Statement Confirmation'!$A$2:$F$1000,6,FALSE),""))))</f>
        <v/>
      </c>
      <c r="Q83" s="117"/>
      <c r="R83" s="51"/>
      <c r="S83" s="52" t="s">
        <v>61</v>
      </c>
      <c r="T83" s="53"/>
      <c r="U83" s="53"/>
      <c r="V83" s="54"/>
      <c r="W83" s="55"/>
      <c r="X83" s="116"/>
      <c r="Y83" s="121"/>
      <c r="Z83" s="122"/>
      <c r="AA83" s="122"/>
      <c r="AB83" s="116"/>
      <c r="AC83" s="121"/>
      <c r="AD83" s="122"/>
      <c r="AE83" s="122"/>
      <c r="AF83" s="116"/>
      <c r="AG83" s="123"/>
      <c r="BA83" s="15" t="str">
        <f>(IFERROR(VLOOKUP(#REF!,#REF!,7,FALSE),IFERROR(VLOOKUP(#REF!,#REF!,7,FALSE),"")))</f>
        <v/>
      </c>
    </row>
    <row r="84" spans="1:53" s="15" customFormat="1" ht="25.5" customHeight="1" x14ac:dyDescent="0.3">
      <c r="A84" s="133"/>
      <c r="B84" s="134"/>
      <c r="C84" s="228"/>
      <c r="D84" s="134"/>
      <c r="E84" s="127"/>
      <c r="F84" s="50"/>
      <c r="G84" s="50"/>
      <c r="H84" s="124"/>
      <c r="I84" s="51"/>
      <c r="J84" s="116" t="s">
        <v>61</v>
      </c>
      <c r="K84" s="85"/>
      <c r="L84" s="127"/>
      <c r="M84" s="125"/>
      <c r="N84" s="125"/>
      <c r="O84" s="125"/>
      <c r="P84" s="126" t="str">
        <f>(IFERROR(VLOOKUP(K84,[2]Sampling!$A$2:$D$995,4,FALSE),IFERROR(VLOOKUP(K84,'[2]Other Queries'!$A$2:$E$1000,5,FALSE),IFERROR(VLOOKUP(K84,'[2]Statement Confirmation'!$A$2:$F$1000,6,FALSE),""))))</f>
        <v/>
      </c>
      <c r="Q84" s="117"/>
      <c r="R84" s="51"/>
      <c r="S84" s="52" t="s">
        <v>61</v>
      </c>
      <c r="T84" s="53"/>
      <c r="U84" s="53"/>
      <c r="V84" s="54"/>
      <c r="W84" s="55"/>
      <c r="X84" s="116"/>
      <c r="Y84" s="121"/>
      <c r="Z84" s="122"/>
      <c r="AA84" s="122"/>
      <c r="AB84" s="116"/>
      <c r="AC84" s="121"/>
      <c r="AD84" s="122"/>
      <c r="AE84" s="122"/>
      <c r="AF84" s="116"/>
      <c r="AG84" s="123"/>
      <c r="BA84" s="15" t="str">
        <f>(IFERROR(VLOOKUP(#REF!,#REF!,7,FALSE),IFERROR(VLOOKUP(#REF!,#REF!,7,FALSE),"")))</f>
        <v/>
      </c>
    </row>
    <row r="85" spans="1:53" s="15" customFormat="1" ht="25.5" customHeight="1" x14ac:dyDescent="0.3">
      <c r="A85" s="133"/>
      <c r="B85" s="134"/>
      <c r="C85" s="228"/>
      <c r="D85" s="134"/>
      <c r="E85" s="127"/>
      <c r="F85" s="50"/>
      <c r="G85" s="50"/>
      <c r="H85" s="124"/>
      <c r="I85" s="51"/>
      <c r="J85" s="116" t="s">
        <v>61</v>
      </c>
      <c r="K85" s="140"/>
      <c r="L85" s="125"/>
      <c r="M85" s="125"/>
      <c r="N85" s="125"/>
      <c r="O85" s="125"/>
      <c r="P85" s="126" t="str">
        <f>(IFERROR(VLOOKUP(K85,[2]Sampling!$A$2:$D$995,4,FALSE),IFERROR(VLOOKUP(K85,'[2]Other Queries'!$A$2:$E$1000,5,FALSE),IFERROR(VLOOKUP(K85,'[2]Statement Confirmation'!$A$2:$F$1000,6,FALSE),""))))</f>
        <v/>
      </c>
      <c r="Q85" s="117"/>
      <c r="R85" s="51"/>
      <c r="S85" s="52" t="s">
        <v>61</v>
      </c>
      <c r="T85" s="53"/>
      <c r="U85" s="53"/>
      <c r="V85" s="54"/>
      <c r="W85" s="55"/>
      <c r="X85" s="116"/>
      <c r="Y85" s="121"/>
      <c r="Z85" s="122"/>
      <c r="AA85" s="122"/>
      <c r="AB85" s="116"/>
      <c r="AC85" s="121"/>
      <c r="AD85" s="122"/>
      <c r="AE85" s="122"/>
      <c r="AF85" s="116"/>
      <c r="AG85" s="123"/>
      <c r="BA85" s="15" t="str">
        <f>(IFERROR(VLOOKUP(#REF!,#REF!,7,FALSE),IFERROR(VLOOKUP(#REF!,#REF!,7,FALSE),"")))</f>
        <v/>
      </c>
    </row>
    <row r="86" spans="1:53" s="15" customFormat="1" ht="25.5" customHeight="1" x14ac:dyDescent="0.3">
      <c r="A86" s="133"/>
      <c r="B86" s="134"/>
      <c r="C86" s="228"/>
      <c r="D86" s="134"/>
      <c r="E86" s="179"/>
      <c r="F86" s="50"/>
      <c r="G86" s="50"/>
      <c r="H86" s="50"/>
      <c r="I86" s="51"/>
      <c r="J86" s="116" t="s">
        <v>61</v>
      </c>
      <c r="K86" s="128"/>
      <c r="L86" s="127"/>
      <c r="M86" s="125"/>
      <c r="N86" s="125"/>
      <c r="O86" s="125"/>
      <c r="P86" s="126" t="str">
        <f>(IFERROR(VLOOKUP(K86,[2]Sampling!$A$2:$D$995,4,FALSE),IFERROR(VLOOKUP(K86,'[2]Other Queries'!$A$2:$E$1000,5,FALSE),IFERROR(VLOOKUP(K86,'[2]Statement Confirmation'!$A$2:$F$1000,6,FALSE),""))))</f>
        <v/>
      </c>
      <c r="Q86" s="117"/>
      <c r="R86" s="51"/>
      <c r="S86" s="52" t="s">
        <v>61</v>
      </c>
      <c r="T86" s="53"/>
      <c r="U86" s="53"/>
      <c r="V86" s="54"/>
      <c r="W86" s="55"/>
      <c r="X86" s="116"/>
      <c r="Y86" s="121"/>
      <c r="Z86" s="122"/>
      <c r="AA86" s="122"/>
      <c r="AB86" s="116"/>
      <c r="AC86" s="121"/>
      <c r="AD86" s="122"/>
      <c r="AE86" s="122"/>
      <c r="AF86" s="116"/>
      <c r="AG86" s="123"/>
      <c r="BA86" s="15" t="str">
        <f>(IFERROR(VLOOKUP(#REF!,#REF!,7,FALSE),IFERROR(VLOOKUP(#REF!,#REF!,7,FALSE),"")))</f>
        <v/>
      </c>
    </row>
    <row r="87" spans="1:53" s="15" customFormat="1" ht="25.5" customHeight="1" x14ac:dyDescent="0.3">
      <c r="A87" s="133"/>
      <c r="B87" s="134"/>
      <c r="C87" s="228"/>
      <c r="D87" s="134"/>
      <c r="E87" s="179"/>
      <c r="F87" s="50"/>
      <c r="G87" s="50"/>
      <c r="H87" s="50"/>
      <c r="I87" s="51"/>
      <c r="J87" s="116" t="s">
        <v>61</v>
      </c>
      <c r="K87" s="175"/>
      <c r="L87" s="127"/>
      <c r="M87" s="125"/>
      <c r="N87" s="125"/>
      <c r="O87" s="125"/>
      <c r="P87" s="126" t="str">
        <f>(IFERROR(VLOOKUP(K87,[2]Sampling!$A$2:$D$995,4,FALSE),IFERROR(VLOOKUP(K87,'[2]Other Queries'!$A$2:$E$1000,5,FALSE),IFERROR(VLOOKUP(K87,'[2]Statement Confirmation'!$A$2:$F$1000,6,FALSE),""))))</f>
        <v/>
      </c>
      <c r="Q87" s="117"/>
      <c r="R87" s="51"/>
      <c r="S87" s="52" t="s">
        <v>61</v>
      </c>
      <c r="T87" s="53"/>
      <c r="U87" s="53"/>
      <c r="V87" s="54"/>
      <c r="W87" s="55"/>
      <c r="X87" s="116"/>
      <c r="Y87" s="121"/>
      <c r="Z87" s="122"/>
      <c r="AA87" s="122"/>
      <c r="AB87" s="116"/>
      <c r="AC87" s="121"/>
      <c r="AD87" s="122"/>
      <c r="AE87" s="122"/>
      <c r="AF87" s="116"/>
      <c r="AG87" s="123"/>
      <c r="BA87" s="15" t="str">
        <f>(IFERROR(VLOOKUP(#REF!,#REF!,7,FALSE),IFERROR(VLOOKUP(#REF!,#REF!,7,FALSE),"")))</f>
        <v/>
      </c>
    </row>
    <row r="88" spans="1:53" s="15" customFormat="1" ht="25.5" customHeight="1" x14ac:dyDescent="0.3">
      <c r="A88" s="133"/>
      <c r="B88" s="134"/>
      <c r="C88" s="228"/>
      <c r="D88" s="134"/>
      <c r="E88" s="127"/>
      <c r="F88" s="50"/>
      <c r="G88" s="50"/>
      <c r="H88" s="124"/>
      <c r="I88" s="51"/>
      <c r="J88" s="116" t="s">
        <v>61</v>
      </c>
      <c r="K88" s="85"/>
      <c r="L88" s="127"/>
      <c r="M88" s="125"/>
      <c r="N88" s="125"/>
      <c r="O88" s="125"/>
      <c r="P88" s="126" t="str">
        <f>(IFERROR(VLOOKUP(K88,[2]Sampling!$A$2:$D$995,4,FALSE),IFERROR(VLOOKUP(K88,'[2]Other Queries'!$A$2:$E$1000,5,FALSE),IFERROR(VLOOKUP(K88,'[2]Statement Confirmation'!$A$2:$F$1000,6,FALSE),""))))</f>
        <v/>
      </c>
      <c r="Q88" s="117"/>
      <c r="R88" s="51"/>
      <c r="S88" s="52" t="s">
        <v>61</v>
      </c>
      <c r="T88" s="53"/>
      <c r="U88" s="53"/>
      <c r="V88" s="54"/>
      <c r="W88" s="55"/>
      <c r="X88" s="116"/>
      <c r="Y88" s="121"/>
      <c r="Z88" s="122"/>
      <c r="AA88" s="122"/>
      <c r="AB88" s="116"/>
      <c r="AC88" s="121"/>
      <c r="AD88" s="122"/>
      <c r="AE88" s="122"/>
      <c r="AF88" s="116"/>
      <c r="AG88" s="123"/>
      <c r="BA88" s="15" t="str">
        <f>(IFERROR(VLOOKUP(#REF!,#REF!,7,FALSE),IFERROR(VLOOKUP(#REF!,#REF!,7,FALSE),"")))</f>
        <v/>
      </c>
    </row>
    <row r="89" spans="1:53" s="15" customFormat="1" ht="25.5" customHeight="1" x14ac:dyDescent="0.3">
      <c r="A89" s="133"/>
      <c r="B89" s="134"/>
      <c r="C89" s="228"/>
      <c r="D89" s="134"/>
      <c r="E89" s="127"/>
      <c r="F89" s="50"/>
      <c r="G89" s="50"/>
      <c r="H89" s="124"/>
      <c r="I89" s="51"/>
      <c r="J89" s="116" t="s">
        <v>61</v>
      </c>
      <c r="K89" s="128"/>
      <c r="L89" s="127"/>
      <c r="M89" s="125"/>
      <c r="N89" s="125"/>
      <c r="O89" s="125"/>
      <c r="P89" s="126" t="str">
        <f>(IFERROR(VLOOKUP(K89,[2]Sampling!$A$2:$D$995,4,FALSE),IFERROR(VLOOKUP(K89,'[2]Other Queries'!$A$2:$E$1000,5,FALSE),IFERROR(VLOOKUP(K89,'[2]Statement Confirmation'!$A$2:$F$1000,6,FALSE),""))))</f>
        <v/>
      </c>
      <c r="Q89" s="117"/>
      <c r="R89" s="51"/>
      <c r="S89" s="52" t="s">
        <v>61</v>
      </c>
      <c r="T89" s="53"/>
      <c r="U89" s="53"/>
      <c r="V89" s="54"/>
      <c r="W89" s="55"/>
      <c r="X89" s="116"/>
      <c r="Y89" s="121"/>
      <c r="Z89" s="122"/>
      <c r="AA89" s="122"/>
      <c r="AB89" s="116"/>
      <c r="AC89" s="121"/>
      <c r="AD89" s="122"/>
      <c r="AE89" s="122"/>
      <c r="AF89" s="116"/>
      <c r="AG89" s="123"/>
      <c r="BA89" s="15" t="str">
        <f>(IFERROR(VLOOKUP(#REF!,#REF!,7,FALSE),IFERROR(VLOOKUP(#REF!,#REF!,7,FALSE),"")))</f>
        <v/>
      </c>
    </row>
    <row r="90" spans="1:53" s="15" customFormat="1" ht="25.5" customHeight="1" x14ac:dyDescent="0.3">
      <c r="A90" s="133"/>
      <c r="B90" s="134"/>
      <c r="C90" s="228"/>
      <c r="D90" s="134"/>
      <c r="E90" s="127"/>
      <c r="F90" s="50"/>
      <c r="G90" s="50"/>
      <c r="H90" s="124"/>
      <c r="I90" s="51"/>
      <c r="J90" s="116" t="s">
        <v>61</v>
      </c>
      <c r="K90" s="128"/>
      <c r="L90" s="127"/>
      <c r="M90" s="125"/>
      <c r="N90" s="125"/>
      <c r="O90" s="125"/>
      <c r="P90" s="126" t="str">
        <f>(IFERROR(VLOOKUP(K90,[2]Sampling!$A$2:$D$995,4,FALSE),IFERROR(VLOOKUP(K90,'[2]Other Queries'!$A$2:$E$1000,5,FALSE),IFERROR(VLOOKUP(K90,'[2]Statement Confirmation'!$A$2:$F$1000,6,FALSE),""))))</f>
        <v/>
      </c>
      <c r="Q90" s="117"/>
      <c r="R90" s="51"/>
      <c r="S90" s="52" t="s">
        <v>61</v>
      </c>
      <c r="T90" s="53"/>
      <c r="U90" s="53"/>
      <c r="V90" s="54"/>
      <c r="W90" s="55"/>
      <c r="X90" s="116"/>
      <c r="Y90" s="121"/>
      <c r="Z90" s="122"/>
      <c r="AA90" s="122"/>
      <c r="AB90" s="116"/>
      <c r="AC90" s="121"/>
      <c r="AD90" s="122"/>
      <c r="AE90" s="122"/>
      <c r="AF90" s="116"/>
      <c r="AG90" s="123"/>
      <c r="BA90" s="15" t="str">
        <f>(IFERROR(VLOOKUP(#REF!,#REF!,7,FALSE),IFERROR(VLOOKUP(#REF!,#REF!,7,FALSE),"")))</f>
        <v/>
      </c>
    </row>
    <row r="91" spans="1:53" s="15" customFormat="1" ht="25.5" customHeight="1" x14ac:dyDescent="0.3">
      <c r="A91" s="133"/>
      <c r="B91" s="134"/>
      <c r="C91" s="228"/>
      <c r="D91" s="134"/>
      <c r="E91" s="127"/>
      <c r="F91" s="50"/>
      <c r="G91" s="50"/>
      <c r="H91" s="124"/>
      <c r="I91" s="51"/>
      <c r="J91" s="116" t="s">
        <v>61</v>
      </c>
      <c r="K91" s="177"/>
      <c r="L91" s="127"/>
      <c r="M91" s="125"/>
      <c r="N91" s="125"/>
      <c r="O91" s="125"/>
      <c r="P91" s="126" t="str">
        <f>(IFERROR(VLOOKUP(K91,[2]Sampling!$A$2:$D$995,4,FALSE),IFERROR(VLOOKUP(K91,'[2]Other Queries'!$A$2:$E$1000,5,FALSE),IFERROR(VLOOKUP(K91,'[2]Statement Confirmation'!$A$2:$F$1000,6,FALSE),""))))</f>
        <v/>
      </c>
      <c r="Q91" s="117"/>
      <c r="R91" s="51"/>
      <c r="S91" s="52" t="s">
        <v>61</v>
      </c>
      <c r="T91" s="53"/>
      <c r="U91" s="53"/>
      <c r="V91" s="54"/>
      <c r="W91" s="55"/>
      <c r="X91" s="116"/>
      <c r="Y91" s="121"/>
      <c r="Z91" s="122"/>
      <c r="AA91" s="122"/>
      <c r="AB91" s="116"/>
      <c r="AC91" s="121"/>
      <c r="AD91" s="122"/>
      <c r="AE91" s="122"/>
      <c r="AF91" s="116"/>
      <c r="AG91" s="123"/>
      <c r="BA91" s="15" t="str">
        <f>(IFERROR(VLOOKUP(#REF!,#REF!,7,FALSE),IFERROR(VLOOKUP(#REF!,#REF!,7,FALSE),"")))</f>
        <v/>
      </c>
    </row>
    <row r="92" spans="1:53" s="15" customFormat="1" ht="25.5" customHeight="1" x14ac:dyDescent="0.3">
      <c r="A92" s="133"/>
      <c r="B92" s="134"/>
      <c r="C92" s="228"/>
      <c r="D92" s="134"/>
      <c r="E92" s="127"/>
      <c r="F92" s="50"/>
      <c r="G92" s="50"/>
      <c r="H92" s="124"/>
      <c r="I92" s="51"/>
      <c r="J92" s="116" t="s">
        <v>61</v>
      </c>
      <c r="K92" s="128"/>
      <c r="L92" s="127"/>
      <c r="M92" s="125"/>
      <c r="N92" s="125"/>
      <c r="O92" s="125"/>
      <c r="P92" s="126" t="str">
        <f>(IFERROR(VLOOKUP(K92,[2]Sampling!$A$2:$D$995,4,FALSE),IFERROR(VLOOKUP(K92,'[2]Other Queries'!$A$2:$E$1000,5,FALSE),IFERROR(VLOOKUP(K92,'[2]Statement Confirmation'!$A$2:$F$1000,6,FALSE),""))))</f>
        <v/>
      </c>
      <c r="Q92" s="117"/>
      <c r="R92" s="51"/>
      <c r="S92" s="52" t="s">
        <v>61</v>
      </c>
      <c r="T92" s="53"/>
      <c r="U92" s="53"/>
      <c r="V92" s="54"/>
      <c r="W92" s="55"/>
      <c r="X92" s="116"/>
      <c r="Y92" s="121"/>
      <c r="Z92" s="122"/>
      <c r="AA92" s="122"/>
      <c r="AB92" s="116"/>
      <c r="AC92" s="121"/>
      <c r="AD92" s="122"/>
      <c r="AE92" s="122"/>
      <c r="AF92" s="116"/>
      <c r="AG92" s="123"/>
      <c r="BA92" s="15" t="str">
        <f>(IFERROR(VLOOKUP(#REF!,#REF!,7,FALSE),IFERROR(VLOOKUP(#REF!,#REF!,7,FALSE),"")))</f>
        <v/>
      </c>
    </row>
    <row r="93" spans="1:53" s="15" customFormat="1" ht="25.5" customHeight="1" x14ac:dyDescent="0.3">
      <c r="A93" s="137"/>
      <c r="B93" s="134"/>
      <c r="C93" s="134"/>
      <c r="D93" s="134"/>
      <c r="E93" s="127"/>
      <c r="F93" s="50"/>
      <c r="G93" s="50"/>
      <c r="H93" s="124"/>
      <c r="I93" s="51"/>
      <c r="J93" s="116" t="s">
        <v>61</v>
      </c>
      <c r="K93" s="140"/>
      <c r="L93" s="125"/>
      <c r="M93" s="125"/>
      <c r="N93" s="125"/>
      <c r="O93" s="125"/>
      <c r="P93" s="126" t="str">
        <f>(IFERROR(VLOOKUP(K93,[2]Sampling!$A$2:$D$995,4,FALSE),IFERROR(VLOOKUP(K93,'[2]Other Queries'!$A$2:$E$1000,5,FALSE),IFERROR(VLOOKUP(K93,'[2]Statement Confirmation'!$A$2:$F$1000,6,FALSE),""))))</f>
        <v/>
      </c>
      <c r="Q93" s="117"/>
      <c r="R93" s="51"/>
      <c r="S93" s="52" t="s">
        <v>61</v>
      </c>
      <c r="T93" s="53"/>
      <c r="U93" s="53"/>
      <c r="V93" s="54"/>
      <c r="W93" s="55"/>
      <c r="X93" s="116"/>
      <c r="Y93" s="121"/>
      <c r="Z93" s="122"/>
      <c r="AA93" s="122"/>
      <c r="AB93" s="116"/>
      <c r="AC93" s="121"/>
      <c r="AD93" s="122"/>
      <c r="AE93" s="122"/>
      <c r="AF93" s="116"/>
      <c r="AG93" s="123"/>
      <c r="BA93" s="15" t="str">
        <f>(IFERROR(VLOOKUP(#REF!,#REF!,7,FALSE),IFERROR(VLOOKUP(#REF!,#REF!,7,FALSE),"")))</f>
        <v/>
      </c>
    </row>
    <row r="94" spans="1:53" s="15" customFormat="1" ht="25.5" customHeight="1" x14ac:dyDescent="0.3">
      <c r="A94" s="137"/>
      <c r="B94" s="134"/>
      <c r="C94" s="134"/>
      <c r="D94" s="134"/>
      <c r="E94" s="127"/>
      <c r="F94" s="50"/>
      <c r="G94" s="50"/>
      <c r="H94" s="124"/>
      <c r="I94" s="51"/>
      <c r="J94" s="116" t="s">
        <v>61</v>
      </c>
      <c r="K94" s="140"/>
      <c r="L94" s="125"/>
      <c r="M94" s="125"/>
      <c r="N94" s="125"/>
      <c r="O94" s="125"/>
      <c r="P94" s="126" t="str">
        <f>(IFERROR(VLOOKUP(K94,[2]Sampling!$A$2:$D$995,4,FALSE),IFERROR(VLOOKUP(K94,'[2]Other Queries'!$A$2:$E$1000,5,FALSE),IFERROR(VLOOKUP(K94,'[2]Statement Confirmation'!$A$2:$F$1000,6,FALSE),""))))</f>
        <v/>
      </c>
      <c r="Q94" s="117"/>
      <c r="R94" s="51"/>
      <c r="S94" s="52" t="s">
        <v>61</v>
      </c>
      <c r="T94" s="53"/>
      <c r="U94" s="53"/>
      <c r="V94" s="54"/>
      <c r="W94" s="55"/>
      <c r="X94" s="116"/>
      <c r="Y94" s="121"/>
      <c r="Z94" s="122"/>
      <c r="AA94" s="122"/>
      <c r="AB94" s="116"/>
      <c r="AC94" s="121"/>
      <c r="AD94" s="122"/>
      <c r="AE94" s="122"/>
      <c r="AF94" s="116"/>
      <c r="AG94" s="123"/>
      <c r="BA94" s="15" t="str">
        <f>(IFERROR(VLOOKUP(#REF!,#REF!,7,FALSE),IFERROR(VLOOKUP(#REF!,#REF!,7,FALSE),"")))</f>
        <v/>
      </c>
    </row>
    <row r="95" spans="1:53" s="15" customFormat="1" ht="25.5" customHeight="1" x14ac:dyDescent="0.3">
      <c r="A95" s="137"/>
      <c r="B95" s="134"/>
      <c r="C95" s="134"/>
      <c r="D95" s="134"/>
      <c r="E95" s="127"/>
      <c r="F95" s="50"/>
      <c r="G95" s="50"/>
      <c r="H95" s="124"/>
      <c r="I95" s="51"/>
      <c r="J95" s="116" t="s">
        <v>61</v>
      </c>
      <c r="K95" s="140"/>
      <c r="L95" s="125"/>
      <c r="M95" s="125"/>
      <c r="N95" s="125"/>
      <c r="O95" s="125"/>
      <c r="P95" s="126" t="str">
        <f>(IFERROR(VLOOKUP(K95,[2]Sampling!$A$2:$D$995,4,FALSE),IFERROR(VLOOKUP(K95,'[2]Other Queries'!$A$2:$E$1000,5,FALSE),IFERROR(VLOOKUP(K95,'[2]Statement Confirmation'!$A$2:$F$1000,6,FALSE),""))))</f>
        <v/>
      </c>
      <c r="Q95" s="117"/>
      <c r="R95" s="51"/>
      <c r="S95" s="52" t="s">
        <v>61</v>
      </c>
      <c r="T95" s="53"/>
      <c r="U95" s="53"/>
      <c r="V95" s="54"/>
      <c r="W95" s="55"/>
      <c r="X95" s="116"/>
      <c r="Y95" s="121"/>
      <c r="Z95" s="122"/>
      <c r="AA95" s="122"/>
      <c r="AB95" s="116"/>
      <c r="AC95" s="121"/>
      <c r="AD95" s="122"/>
      <c r="AE95" s="122"/>
      <c r="AF95" s="116"/>
      <c r="AG95" s="123"/>
      <c r="BA95" s="15" t="str">
        <f>(IFERROR(VLOOKUP(#REF!,#REF!,7,FALSE),IFERROR(VLOOKUP(#REF!,#REF!,7,FALSE),"")))</f>
        <v/>
      </c>
    </row>
    <row r="96" spans="1:53" s="15" customFormat="1" ht="25.5" customHeight="1" x14ac:dyDescent="0.3">
      <c r="A96" s="137"/>
      <c r="B96" s="134"/>
      <c r="C96" s="134"/>
      <c r="D96" s="134"/>
      <c r="E96" s="127"/>
      <c r="F96" s="50"/>
      <c r="G96" s="50"/>
      <c r="H96" s="124"/>
      <c r="I96" s="51"/>
      <c r="J96" s="116" t="s">
        <v>61</v>
      </c>
      <c r="K96" s="140"/>
      <c r="L96" s="125"/>
      <c r="M96" s="125"/>
      <c r="N96" s="125"/>
      <c r="O96" s="125"/>
      <c r="P96" s="126" t="str">
        <f>(IFERROR(VLOOKUP(K96,[2]Sampling!$A$2:$D$995,4,FALSE),IFERROR(VLOOKUP(K96,'[2]Other Queries'!$A$2:$E$1000,5,FALSE),IFERROR(VLOOKUP(K96,'[2]Statement Confirmation'!$A$2:$F$1000,6,FALSE),""))))</f>
        <v/>
      </c>
      <c r="Q96" s="117"/>
      <c r="R96" s="51"/>
      <c r="S96" s="52" t="s">
        <v>61</v>
      </c>
      <c r="T96" s="53"/>
      <c r="U96" s="53"/>
      <c r="V96" s="54"/>
      <c r="W96" s="55"/>
      <c r="X96" s="116"/>
      <c r="Y96" s="121"/>
      <c r="Z96" s="122"/>
      <c r="AA96" s="122"/>
      <c r="AB96" s="116"/>
      <c r="AC96" s="121"/>
      <c r="AD96" s="122"/>
      <c r="AE96" s="122"/>
      <c r="AF96" s="116"/>
      <c r="AG96" s="123"/>
      <c r="BA96" s="15" t="str">
        <f>(IFERROR(VLOOKUP(#REF!,#REF!,7,FALSE),IFERROR(VLOOKUP(#REF!,#REF!,7,FALSE),"")))</f>
        <v/>
      </c>
    </row>
    <row r="97" spans="1:53" s="15" customFormat="1" ht="25.5" customHeight="1" x14ac:dyDescent="0.3">
      <c r="A97" s="137"/>
      <c r="B97" s="134"/>
      <c r="C97" s="134"/>
      <c r="D97" s="134"/>
      <c r="E97" s="127"/>
      <c r="F97" s="50"/>
      <c r="G97" s="50"/>
      <c r="H97" s="124"/>
      <c r="I97" s="51"/>
      <c r="J97" s="116" t="s">
        <v>61</v>
      </c>
      <c r="K97" s="140"/>
      <c r="L97" s="125"/>
      <c r="M97" s="125"/>
      <c r="N97" s="125"/>
      <c r="O97" s="125"/>
      <c r="P97" s="126" t="str">
        <f>(IFERROR(VLOOKUP(K97,[2]Sampling!$A$2:$D$995,4,FALSE),IFERROR(VLOOKUP(K97,'[2]Other Queries'!$A$2:$E$1000,5,FALSE),IFERROR(VLOOKUP(K97,'[2]Statement Confirmation'!$A$2:$F$1000,6,FALSE),""))))</f>
        <v/>
      </c>
      <c r="Q97" s="117"/>
      <c r="R97" s="51"/>
      <c r="S97" s="52" t="s">
        <v>61</v>
      </c>
      <c r="T97" s="53"/>
      <c r="U97" s="53"/>
      <c r="V97" s="54"/>
      <c r="W97" s="55"/>
      <c r="X97" s="116"/>
      <c r="Y97" s="121"/>
      <c r="Z97" s="122"/>
      <c r="AA97" s="122"/>
      <c r="AB97" s="116"/>
      <c r="AC97" s="121"/>
      <c r="AD97" s="122"/>
      <c r="AE97" s="122"/>
      <c r="AF97" s="116"/>
      <c r="AG97" s="123"/>
      <c r="BA97" s="15" t="str">
        <f>(IFERROR(VLOOKUP(#REF!,#REF!,7,FALSE),IFERROR(VLOOKUP(#REF!,#REF!,7,FALSE),"")))</f>
        <v/>
      </c>
    </row>
    <row r="98" spans="1:53" s="15" customFormat="1" ht="25.5" customHeight="1" x14ac:dyDescent="0.3">
      <c r="A98" s="137"/>
      <c r="B98" s="134"/>
      <c r="C98" s="134"/>
      <c r="D98" s="134"/>
      <c r="E98" s="127"/>
      <c r="F98" s="50"/>
      <c r="G98" s="50"/>
      <c r="H98" s="124"/>
      <c r="I98" s="51"/>
      <c r="J98" s="116" t="s">
        <v>61</v>
      </c>
      <c r="K98" s="140"/>
      <c r="L98" s="125"/>
      <c r="M98" s="125"/>
      <c r="N98" s="125"/>
      <c r="O98" s="125"/>
      <c r="P98" s="126" t="str">
        <f>(IFERROR(VLOOKUP(K98,[2]Sampling!$A$2:$D$995,4,FALSE),IFERROR(VLOOKUP(K98,'[2]Other Queries'!$A$2:$E$1000,5,FALSE),IFERROR(VLOOKUP(K98,'[2]Statement Confirmation'!$A$2:$F$1000,6,FALSE),""))))</f>
        <v/>
      </c>
      <c r="Q98" s="117"/>
      <c r="R98" s="51"/>
      <c r="S98" s="52" t="s">
        <v>61</v>
      </c>
      <c r="T98" s="53"/>
      <c r="U98" s="53"/>
      <c r="V98" s="54"/>
      <c r="W98" s="55"/>
      <c r="X98" s="116"/>
      <c r="Y98" s="121"/>
      <c r="Z98" s="122"/>
      <c r="AA98" s="122"/>
      <c r="AB98" s="116"/>
      <c r="AC98" s="121"/>
      <c r="AD98" s="122"/>
      <c r="AE98" s="122"/>
      <c r="AF98" s="116"/>
      <c r="AG98" s="123"/>
      <c r="BA98" s="15" t="str">
        <f>(IFERROR(VLOOKUP(#REF!,#REF!,7,FALSE),IFERROR(VLOOKUP(#REF!,#REF!,7,FALSE),"")))</f>
        <v/>
      </c>
    </row>
    <row r="99" spans="1:53" s="15" customFormat="1" ht="25.5" customHeight="1" x14ac:dyDescent="0.3">
      <c r="A99" s="137"/>
      <c r="B99" s="134"/>
      <c r="C99" s="134"/>
      <c r="D99" s="134"/>
      <c r="E99" s="127"/>
      <c r="F99" s="50"/>
      <c r="G99" s="50"/>
      <c r="H99" s="124"/>
      <c r="I99" s="51"/>
      <c r="J99" s="116" t="s">
        <v>61</v>
      </c>
      <c r="K99" s="140"/>
      <c r="L99" s="125"/>
      <c r="M99" s="125"/>
      <c r="N99" s="125"/>
      <c r="O99" s="125"/>
      <c r="P99" s="126" t="str">
        <f>(IFERROR(VLOOKUP(K99,[2]Sampling!$A$2:$D$995,4,FALSE),IFERROR(VLOOKUP(K99,'[2]Other Queries'!$A$2:$E$1000,5,FALSE),IFERROR(VLOOKUP(K99,'[2]Statement Confirmation'!$A$2:$F$1000,6,FALSE),""))))</f>
        <v/>
      </c>
      <c r="Q99" s="117"/>
      <c r="R99" s="51"/>
      <c r="S99" s="52" t="s">
        <v>61</v>
      </c>
      <c r="T99" s="53"/>
      <c r="U99" s="53"/>
      <c r="V99" s="54"/>
      <c r="W99" s="55"/>
      <c r="X99" s="116"/>
      <c r="Y99" s="121"/>
      <c r="Z99" s="122"/>
      <c r="AA99" s="122"/>
      <c r="AB99" s="116"/>
      <c r="AC99" s="121"/>
      <c r="AD99" s="122"/>
      <c r="AE99" s="122"/>
      <c r="AF99" s="116"/>
      <c r="AG99" s="123"/>
      <c r="BA99" s="15" t="str">
        <f>(IFERROR(VLOOKUP(#REF!,#REF!,7,FALSE),IFERROR(VLOOKUP(#REF!,#REF!,7,FALSE),"")))</f>
        <v/>
      </c>
    </row>
    <row r="100" spans="1:53" s="15" customFormat="1" ht="25.5" customHeight="1" x14ac:dyDescent="0.3">
      <c r="A100" s="137"/>
      <c r="B100" s="134"/>
      <c r="C100" s="134"/>
      <c r="D100" s="134"/>
      <c r="E100" s="127"/>
      <c r="F100" s="50"/>
      <c r="G100" s="50"/>
      <c r="H100" s="124"/>
      <c r="I100" s="51"/>
      <c r="J100" s="116" t="s">
        <v>61</v>
      </c>
      <c r="K100" s="140"/>
      <c r="L100" s="125"/>
      <c r="M100" s="125"/>
      <c r="N100" s="125"/>
      <c r="O100" s="125"/>
      <c r="P100" s="126" t="str">
        <f>(IFERROR(VLOOKUP(K100,[2]Sampling!$A$2:$D$995,4,FALSE),IFERROR(VLOOKUP(K100,'[2]Other Queries'!$A$2:$E$1000,5,FALSE),IFERROR(VLOOKUP(K100,'[2]Statement Confirmation'!$A$2:$F$1000,6,FALSE),""))))</f>
        <v/>
      </c>
      <c r="Q100" s="117"/>
      <c r="R100" s="51"/>
      <c r="S100" s="52" t="s">
        <v>61</v>
      </c>
      <c r="T100" s="53"/>
      <c r="U100" s="53"/>
      <c r="V100" s="54"/>
      <c r="W100" s="55"/>
      <c r="X100" s="116"/>
      <c r="Y100" s="121"/>
      <c r="Z100" s="122"/>
      <c r="AA100" s="122"/>
      <c r="AB100" s="116"/>
      <c r="AC100" s="121"/>
      <c r="AD100" s="122"/>
      <c r="AE100" s="122"/>
      <c r="AF100" s="116"/>
      <c r="AG100" s="123"/>
      <c r="BA100" s="15" t="str">
        <f>(IFERROR(VLOOKUP(#REF!,#REF!,7,FALSE),IFERROR(VLOOKUP(#REF!,#REF!,7,FALSE),"")))</f>
        <v/>
      </c>
    </row>
    <row r="101" spans="1:53" s="15" customFormat="1" ht="25.5" customHeight="1" x14ac:dyDescent="0.3">
      <c r="A101" s="137"/>
      <c r="B101" s="134"/>
      <c r="C101" s="134"/>
      <c r="D101" s="134"/>
      <c r="E101" s="127"/>
      <c r="F101" s="50"/>
      <c r="G101" s="50"/>
      <c r="H101" s="124"/>
      <c r="I101" s="51"/>
      <c r="J101" s="116" t="s">
        <v>61</v>
      </c>
      <c r="K101" s="140"/>
      <c r="L101" s="125"/>
      <c r="M101" s="125"/>
      <c r="N101" s="125"/>
      <c r="O101" s="125"/>
      <c r="P101" s="126" t="str">
        <f>(IFERROR(VLOOKUP(K101,[2]Sampling!$A$2:$D$995,4,FALSE),IFERROR(VLOOKUP(K101,'[2]Other Queries'!$A$2:$E$1000,5,FALSE),IFERROR(VLOOKUP(K101,'[2]Statement Confirmation'!$A$2:$F$1000,6,FALSE),""))))</f>
        <v/>
      </c>
      <c r="Q101" s="117"/>
      <c r="R101" s="51"/>
      <c r="S101" s="52" t="s">
        <v>61</v>
      </c>
      <c r="T101" s="53"/>
      <c r="U101" s="53"/>
      <c r="V101" s="54"/>
      <c r="W101" s="55"/>
      <c r="X101" s="116"/>
      <c r="Y101" s="121"/>
      <c r="Z101" s="122"/>
      <c r="AA101" s="122"/>
      <c r="AB101" s="116"/>
      <c r="AC101" s="121"/>
      <c r="AD101" s="122"/>
      <c r="AE101" s="122"/>
      <c r="AF101" s="116"/>
      <c r="AG101" s="123"/>
      <c r="BA101" s="15" t="str">
        <f>(IFERROR(VLOOKUP(#REF!,#REF!,7,FALSE),IFERROR(VLOOKUP(#REF!,#REF!,7,FALSE),"")))</f>
        <v/>
      </c>
    </row>
    <row r="102" spans="1:53" s="15" customFormat="1" ht="25.5" customHeight="1" x14ac:dyDescent="0.3">
      <c r="A102" s="137"/>
      <c r="B102" s="134"/>
      <c r="C102" s="134"/>
      <c r="D102" s="134"/>
      <c r="E102" s="127"/>
      <c r="F102" s="50"/>
      <c r="G102" s="50"/>
      <c r="H102" s="124"/>
      <c r="I102" s="51"/>
      <c r="J102" s="116" t="s">
        <v>61</v>
      </c>
      <c r="K102" s="140"/>
      <c r="L102" s="125"/>
      <c r="M102" s="125"/>
      <c r="N102" s="125"/>
      <c r="O102" s="125"/>
      <c r="P102" s="126" t="str">
        <f>(IFERROR(VLOOKUP(K102,[2]Sampling!$A$2:$D$995,4,FALSE),IFERROR(VLOOKUP(K102,'[2]Other Queries'!$A$2:$E$1000,5,FALSE),IFERROR(VLOOKUP(K102,'[2]Statement Confirmation'!$A$2:$F$1000,6,FALSE),""))))</f>
        <v/>
      </c>
      <c r="Q102" s="117"/>
      <c r="R102" s="51"/>
      <c r="S102" s="52" t="s">
        <v>61</v>
      </c>
      <c r="T102" s="53"/>
      <c r="U102" s="53"/>
      <c r="V102" s="54"/>
      <c r="W102" s="55"/>
      <c r="X102" s="116"/>
      <c r="Y102" s="121"/>
      <c r="Z102" s="122"/>
      <c r="AA102" s="122"/>
      <c r="AB102" s="116"/>
      <c r="AC102" s="121"/>
      <c r="AD102" s="122"/>
      <c r="AE102" s="122"/>
      <c r="AF102" s="116"/>
      <c r="AG102" s="123"/>
      <c r="BA102" s="15" t="str">
        <f>(IFERROR(VLOOKUP(#REF!,#REF!,7,FALSE),IFERROR(VLOOKUP(#REF!,#REF!,7,FALSE),"")))</f>
        <v/>
      </c>
    </row>
    <row r="103" spans="1:53" s="15" customFormat="1" ht="25.5" customHeight="1" x14ac:dyDescent="0.3">
      <c r="A103" s="137"/>
      <c r="B103" s="134"/>
      <c r="C103" s="134"/>
      <c r="D103" s="134"/>
      <c r="E103" s="127"/>
      <c r="F103" s="50"/>
      <c r="G103" s="50"/>
      <c r="H103" s="124"/>
      <c r="I103" s="51"/>
      <c r="J103" s="116" t="s">
        <v>61</v>
      </c>
      <c r="K103" s="140"/>
      <c r="L103" s="125"/>
      <c r="M103" s="125"/>
      <c r="N103" s="125"/>
      <c r="O103" s="125"/>
      <c r="P103" s="126" t="str">
        <f>(IFERROR(VLOOKUP(K103,[2]Sampling!$A$2:$D$995,4,FALSE),IFERROR(VLOOKUP(K103,'[2]Other Queries'!$A$2:$E$1000,5,FALSE),IFERROR(VLOOKUP(K103,'[2]Statement Confirmation'!$A$2:$F$1000,6,FALSE),""))))</f>
        <v/>
      </c>
      <c r="Q103" s="117"/>
      <c r="R103" s="51"/>
      <c r="S103" s="52" t="s">
        <v>61</v>
      </c>
      <c r="T103" s="53"/>
      <c r="U103" s="53"/>
      <c r="V103" s="54"/>
      <c r="W103" s="55"/>
      <c r="X103" s="116"/>
      <c r="Y103" s="121"/>
      <c r="Z103" s="122"/>
      <c r="AA103" s="122"/>
      <c r="AB103" s="116"/>
      <c r="AC103" s="121"/>
      <c r="AD103" s="122"/>
      <c r="AE103" s="122"/>
      <c r="AF103" s="116"/>
      <c r="AG103" s="123"/>
      <c r="BA103" s="15" t="str">
        <f>(IFERROR(VLOOKUP(#REF!,#REF!,7,FALSE),IFERROR(VLOOKUP(#REF!,#REF!,7,FALSE),"")))</f>
        <v/>
      </c>
    </row>
    <row r="104" spans="1:53" s="15" customFormat="1" ht="25.5" customHeight="1" x14ac:dyDescent="0.3">
      <c r="A104" s="137"/>
      <c r="B104" s="134"/>
      <c r="C104" s="134"/>
      <c r="D104" s="134"/>
      <c r="E104" s="127"/>
      <c r="F104" s="50"/>
      <c r="G104" s="50"/>
      <c r="H104" s="124"/>
      <c r="I104" s="51"/>
      <c r="J104" s="116" t="s">
        <v>61</v>
      </c>
      <c r="K104" s="140"/>
      <c r="L104" s="125"/>
      <c r="M104" s="125"/>
      <c r="N104" s="125"/>
      <c r="O104" s="125"/>
      <c r="P104" s="126" t="str">
        <f>(IFERROR(VLOOKUP(K104,[2]Sampling!$A$2:$D$995,4,FALSE),IFERROR(VLOOKUP(K104,'[2]Other Queries'!$A$2:$E$1000,5,FALSE),IFERROR(VLOOKUP(K104,'[2]Statement Confirmation'!$A$2:$F$1000,6,FALSE),""))))</f>
        <v/>
      </c>
      <c r="Q104" s="117"/>
      <c r="R104" s="51"/>
      <c r="S104" s="52" t="s">
        <v>61</v>
      </c>
      <c r="T104" s="53"/>
      <c r="U104" s="53"/>
      <c r="V104" s="54"/>
      <c r="W104" s="55"/>
      <c r="X104" s="116"/>
      <c r="Y104" s="121"/>
      <c r="Z104" s="122"/>
      <c r="AA104" s="122"/>
      <c r="AB104" s="116"/>
      <c r="AC104" s="121"/>
      <c r="AD104" s="122"/>
      <c r="AE104" s="122"/>
      <c r="AF104" s="116"/>
      <c r="AG104" s="123"/>
      <c r="BA104" s="15" t="str">
        <f>(IFERROR(VLOOKUP(#REF!,#REF!,7,FALSE),IFERROR(VLOOKUP(#REF!,#REF!,7,FALSE),"")))</f>
        <v/>
      </c>
    </row>
    <row r="105" spans="1:53" s="15" customFormat="1" ht="25.5" customHeight="1" x14ac:dyDescent="0.3">
      <c r="A105" s="137"/>
      <c r="B105" s="134"/>
      <c r="C105" s="134"/>
      <c r="D105" s="134"/>
      <c r="E105" s="127"/>
      <c r="F105" s="50"/>
      <c r="G105" s="50"/>
      <c r="H105" s="124"/>
      <c r="I105" s="51"/>
      <c r="J105" s="116" t="s">
        <v>61</v>
      </c>
      <c r="K105" s="140"/>
      <c r="L105" s="125"/>
      <c r="M105" s="125"/>
      <c r="N105" s="125"/>
      <c r="O105" s="125"/>
      <c r="P105" s="126" t="str">
        <f>(IFERROR(VLOOKUP(K105,[2]Sampling!$A$2:$D$995,4,FALSE),IFERROR(VLOOKUP(K105,'[2]Other Queries'!$A$2:$E$1000,5,FALSE),IFERROR(VLOOKUP(K105,'[2]Statement Confirmation'!$A$2:$F$1000,6,FALSE),""))))</f>
        <v/>
      </c>
      <c r="Q105" s="117"/>
      <c r="R105" s="51"/>
      <c r="S105" s="52" t="s">
        <v>61</v>
      </c>
      <c r="T105" s="53"/>
      <c r="U105" s="53"/>
      <c r="V105" s="54"/>
      <c r="W105" s="55"/>
      <c r="X105" s="116"/>
      <c r="Y105" s="121"/>
      <c r="Z105" s="122"/>
      <c r="AA105" s="122"/>
      <c r="AB105" s="116"/>
      <c r="AC105" s="121"/>
      <c r="AD105" s="122"/>
      <c r="AE105" s="122"/>
      <c r="AF105" s="116"/>
      <c r="AG105" s="123"/>
      <c r="BA105" s="15" t="str">
        <f>(IFERROR(VLOOKUP(#REF!,#REF!,7,FALSE),IFERROR(VLOOKUP(#REF!,#REF!,7,FALSE),"")))</f>
        <v/>
      </c>
    </row>
    <row r="106" spans="1:53" s="15" customFormat="1" ht="25.5" customHeight="1" x14ac:dyDescent="0.3">
      <c r="A106" s="137"/>
      <c r="B106" s="134"/>
      <c r="C106" s="134"/>
      <c r="D106" s="134"/>
      <c r="E106" s="127"/>
      <c r="F106" s="50"/>
      <c r="G106" s="50"/>
      <c r="H106" s="124"/>
      <c r="I106" s="51"/>
      <c r="J106" s="116" t="s">
        <v>61</v>
      </c>
      <c r="K106" s="140"/>
      <c r="L106" s="125"/>
      <c r="M106" s="125"/>
      <c r="N106" s="125"/>
      <c r="O106" s="125"/>
      <c r="P106" s="126" t="str">
        <f>(IFERROR(VLOOKUP(K106,[2]Sampling!$A$2:$D$995,4,FALSE),IFERROR(VLOOKUP(K106,'[2]Other Queries'!$A$2:$E$1000,5,FALSE),IFERROR(VLOOKUP(K106,'[2]Statement Confirmation'!$A$2:$F$1000,6,FALSE),""))))</f>
        <v/>
      </c>
      <c r="Q106" s="117"/>
      <c r="R106" s="51"/>
      <c r="S106" s="52" t="s">
        <v>61</v>
      </c>
      <c r="T106" s="53"/>
      <c r="U106" s="53"/>
      <c r="V106" s="54"/>
      <c r="W106" s="55"/>
      <c r="X106" s="116"/>
      <c r="Y106" s="121"/>
      <c r="Z106" s="122"/>
      <c r="AA106" s="122"/>
      <c r="AB106" s="116"/>
      <c r="AC106" s="121"/>
      <c r="AD106" s="122"/>
      <c r="AE106" s="122"/>
      <c r="AF106" s="116"/>
      <c r="AG106" s="123"/>
      <c r="BA106" s="15" t="str">
        <f>(IFERROR(VLOOKUP(#REF!,#REF!,7,FALSE),IFERROR(VLOOKUP(#REF!,#REF!,7,FALSE),"")))</f>
        <v/>
      </c>
    </row>
    <row r="107" spans="1:53" s="15" customFormat="1" ht="25.5" customHeight="1" x14ac:dyDescent="0.3">
      <c r="A107" s="137"/>
      <c r="B107" s="134"/>
      <c r="C107" s="134"/>
      <c r="D107" s="134"/>
      <c r="E107" s="127"/>
      <c r="F107" s="50"/>
      <c r="G107" s="50"/>
      <c r="H107" s="124"/>
      <c r="I107" s="51"/>
      <c r="J107" s="116" t="s">
        <v>61</v>
      </c>
      <c r="K107" s="140"/>
      <c r="L107" s="125"/>
      <c r="M107" s="125"/>
      <c r="N107" s="125"/>
      <c r="O107" s="125"/>
      <c r="P107" s="126" t="str">
        <f>(IFERROR(VLOOKUP(K107,[2]Sampling!$A$2:$D$995,4,FALSE),IFERROR(VLOOKUP(K107,'[2]Other Queries'!$A$2:$E$1000,5,FALSE),IFERROR(VLOOKUP(K107,'[2]Statement Confirmation'!$A$2:$F$1000,6,FALSE),""))))</f>
        <v/>
      </c>
      <c r="Q107" s="117"/>
      <c r="R107" s="51"/>
      <c r="S107" s="52" t="s">
        <v>61</v>
      </c>
      <c r="T107" s="53"/>
      <c r="U107" s="53"/>
      <c r="V107" s="54"/>
      <c r="W107" s="55"/>
      <c r="X107" s="116"/>
      <c r="Y107" s="121"/>
      <c r="Z107" s="122"/>
      <c r="AA107" s="122"/>
      <c r="AB107" s="116"/>
      <c r="AC107" s="121"/>
      <c r="AD107" s="122"/>
      <c r="AE107" s="122"/>
      <c r="AF107" s="116"/>
      <c r="AG107" s="123"/>
      <c r="BA107" s="15" t="str">
        <f>(IFERROR(VLOOKUP(#REF!,#REF!,7,FALSE),IFERROR(VLOOKUP(#REF!,#REF!,7,FALSE),"")))</f>
        <v/>
      </c>
    </row>
    <row r="108" spans="1:53" s="15" customFormat="1" ht="25.5" customHeight="1" x14ac:dyDescent="0.3">
      <c r="A108" s="137"/>
      <c r="B108" s="134"/>
      <c r="C108" s="134"/>
      <c r="D108" s="134"/>
      <c r="E108" s="127"/>
      <c r="F108" s="50"/>
      <c r="G108" s="50"/>
      <c r="H108" s="124"/>
      <c r="I108" s="51"/>
      <c r="J108" s="116" t="s">
        <v>61</v>
      </c>
      <c r="K108" s="140"/>
      <c r="L108" s="125"/>
      <c r="M108" s="125"/>
      <c r="N108" s="125"/>
      <c r="O108" s="125"/>
      <c r="P108" s="126" t="str">
        <f>(IFERROR(VLOOKUP(K108,[2]Sampling!$A$2:$D$995,4,FALSE),IFERROR(VLOOKUP(K108,'[2]Other Queries'!$A$2:$E$1000,5,FALSE),IFERROR(VLOOKUP(K108,'[2]Statement Confirmation'!$A$2:$F$1000,6,FALSE),""))))</f>
        <v/>
      </c>
      <c r="Q108" s="117"/>
      <c r="R108" s="51"/>
      <c r="S108" s="52" t="s">
        <v>61</v>
      </c>
      <c r="T108" s="53"/>
      <c r="U108" s="53"/>
      <c r="V108" s="54"/>
      <c r="W108" s="55"/>
      <c r="X108" s="116"/>
      <c r="Y108" s="121"/>
      <c r="Z108" s="122"/>
      <c r="AA108" s="122"/>
      <c r="AB108" s="116"/>
      <c r="AC108" s="121"/>
      <c r="AD108" s="122"/>
      <c r="AE108" s="122"/>
      <c r="AF108" s="116"/>
      <c r="AG108" s="123"/>
      <c r="BA108" s="15" t="str">
        <f>(IFERROR(VLOOKUP(#REF!,#REF!,7,FALSE),IFERROR(VLOOKUP(#REF!,#REF!,7,FALSE),"")))</f>
        <v/>
      </c>
    </row>
    <row r="109" spans="1:53" s="15" customFormat="1" ht="25.5" customHeight="1" x14ac:dyDescent="0.3">
      <c r="A109" s="137"/>
      <c r="B109" s="134"/>
      <c r="C109" s="134"/>
      <c r="D109" s="134"/>
      <c r="E109" s="127"/>
      <c r="F109" s="50"/>
      <c r="G109" s="50"/>
      <c r="H109" s="124"/>
      <c r="I109" s="51"/>
      <c r="J109" s="116" t="s">
        <v>61</v>
      </c>
      <c r="K109" s="140"/>
      <c r="L109" s="125"/>
      <c r="M109" s="125"/>
      <c r="N109" s="125"/>
      <c r="O109" s="125"/>
      <c r="P109" s="126" t="str">
        <f>(IFERROR(VLOOKUP(K109,[2]Sampling!$A$2:$D$995,4,FALSE),IFERROR(VLOOKUP(K109,'[2]Other Queries'!$A$2:$E$1000,5,FALSE),IFERROR(VLOOKUP(K109,'[2]Statement Confirmation'!$A$2:$F$1000,6,FALSE),""))))</f>
        <v/>
      </c>
      <c r="Q109" s="117"/>
      <c r="R109" s="51"/>
      <c r="S109" s="52" t="s">
        <v>61</v>
      </c>
      <c r="T109" s="53"/>
      <c r="U109" s="53"/>
      <c r="V109" s="54"/>
      <c r="W109" s="55"/>
      <c r="X109" s="116"/>
      <c r="Y109" s="121"/>
      <c r="Z109" s="122"/>
      <c r="AA109" s="122"/>
      <c r="AB109" s="116"/>
      <c r="AC109" s="121"/>
      <c r="AD109" s="122"/>
      <c r="AE109" s="122"/>
      <c r="AF109" s="116"/>
      <c r="AG109" s="123"/>
      <c r="BA109" s="15" t="str">
        <f>(IFERROR(VLOOKUP(#REF!,#REF!,7,FALSE),IFERROR(VLOOKUP(#REF!,#REF!,7,FALSE),"")))</f>
        <v/>
      </c>
    </row>
    <row r="110" spans="1:53" s="15" customFormat="1" ht="25.5" customHeight="1" x14ac:dyDescent="0.3">
      <c r="A110" s="137"/>
      <c r="B110" s="134"/>
      <c r="C110" s="134"/>
      <c r="D110" s="134"/>
      <c r="E110" s="127"/>
      <c r="F110" s="50"/>
      <c r="G110" s="50"/>
      <c r="H110" s="124"/>
      <c r="I110" s="51"/>
      <c r="J110" s="116" t="s">
        <v>61</v>
      </c>
      <c r="K110" s="140"/>
      <c r="L110" s="125"/>
      <c r="M110" s="125"/>
      <c r="N110" s="125"/>
      <c r="O110" s="125"/>
      <c r="P110" s="126" t="str">
        <f>(IFERROR(VLOOKUP(K110,[2]Sampling!$A$2:$D$995,4,FALSE),IFERROR(VLOOKUP(K110,'[2]Other Queries'!$A$2:$E$1000,5,FALSE),IFERROR(VLOOKUP(K110,'[2]Statement Confirmation'!$A$2:$F$1000,6,FALSE),""))))</f>
        <v/>
      </c>
      <c r="Q110" s="117"/>
      <c r="R110" s="51"/>
      <c r="S110" s="52" t="s">
        <v>61</v>
      </c>
      <c r="T110" s="53"/>
      <c r="U110" s="53"/>
      <c r="V110" s="54"/>
      <c r="W110" s="55"/>
      <c r="X110" s="116"/>
      <c r="Y110" s="121"/>
      <c r="Z110" s="122"/>
      <c r="AA110" s="122"/>
      <c r="AB110" s="116"/>
      <c r="AC110" s="121"/>
      <c r="AD110" s="122"/>
      <c r="AE110" s="122"/>
      <c r="AF110" s="116"/>
      <c r="AG110" s="123"/>
      <c r="BA110" s="15" t="str">
        <f>(IFERROR(VLOOKUP(#REF!,#REF!,7,FALSE),IFERROR(VLOOKUP(#REF!,#REF!,7,FALSE),"")))</f>
        <v/>
      </c>
    </row>
    <row r="111" spans="1:53" s="15" customFormat="1" ht="25.5" customHeight="1" x14ac:dyDescent="0.3">
      <c r="A111" s="167"/>
      <c r="B111" s="166"/>
      <c r="C111" s="166"/>
      <c r="D111" s="134"/>
      <c r="E111" s="127"/>
      <c r="F111" s="50"/>
      <c r="G111" s="50"/>
      <c r="H111" s="124"/>
      <c r="I111" s="51"/>
      <c r="J111" s="116" t="s">
        <v>61</v>
      </c>
      <c r="K111" s="140"/>
      <c r="L111" s="125"/>
      <c r="M111" s="125"/>
      <c r="N111" s="125"/>
      <c r="O111" s="125"/>
      <c r="P111" s="126" t="str">
        <f>(IFERROR(VLOOKUP(K111,[2]Sampling!$A$2:$D$995,4,FALSE),IFERROR(VLOOKUP(K111,'[2]Other Queries'!$A$2:$E$1000,5,FALSE),IFERROR(VLOOKUP(K111,'[2]Statement Confirmation'!$A$2:$F$1000,6,FALSE),""))))</f>
        <v/>
      </c>
      <c r="Q111" s="117"/>
      <c r="R111" s="51"/>
      <c r="S111" s="52" t="s">
        <v>61</v>
      </c>
      <c r="T111" s="53"/>
      <c r="U111" s="53"/>
      <c r="V111" s="54"/>
      <c r="W111" s="55"/>
      <c r="X111" s="116"/>
      <c r="Y111" s="121"/>
      <c r="Z111" s="122"/>
      <c r="AA111" s="122"/>
      <c r="AB111" s="116"/>
      <c r="AC111" s="121"/>
      <c r="AD111" s="122"/>
      <c r="AE111" s="122"/>
      <c r="AF111" s="116"/>
      <c r="AG111" s="123"/>
      <c r="BA111" s="15" t="str">
        <f>(IFERROR(VLOOKUP(#REF!,#REF!,7,FALSE),IFERROR(VLOOKUP(#REF!,#REF!,7,FALSE),"")))</f>
        <v/>
      </c>
    </row>
    <row r="112" spans="1:53" s="15" customFormat="1" ht="25.5" customHeight="1" x14ac:dyDescent="0.3">
      <c r="A112" s="131"/>
      <c r="B112" s="50"/>
      <c r="C112" s="50"/>
      <c r="D112" s="49"/>
      <c r="E112" s="127"/>
      <c r="F112" s="50"/>
      <c r="G112" s="50"/>
      <c r="H112" s="124"/>
      <c r="I112" s="51"/>
      <c r="J112" s="116" t="s">
        <v>61</v>
      </c>
      <c r="K112" s="140"/>
      <c r="L112" s="125"/>
      <c r="M112" s="125"/>
      <c r="N112" s="125"/>
      <c r="O112" s="125"/>
      <c r="P112" s="126" t="str">
        <f>(IFERROR(VLOOKUP(K112,[2]Sampling!$A$2:$D$995,4,FALSE),IFERROR(VLOOKUP(K112,'[2]Other Queries'!$A$2:$E$1000,5,FALSE),IFERROR(VLOOKUP(K112,'[2]Statement Confirmation'!$A$2:$F$1000,6,FALSE),""))))</f>
        <v/>
      </c>
      <c r="Q112" s="117"/>
      <c r="R112" s="51"/>
      <c r="S112" s="52" t="s">
        <v>61</v>
      </c>
      <c r="T112" s="53"/>
      <c r="U112" s="53"/>
      <c r="V112" s="54"/>
      <c r="W112" s="55"/>
      <c r="X112" s="116"/>
      <c r="Y112" s="121"/>
      <c r="Z112" s="122"/>
      <c r="AA112" s="122"/>
      <c r="AB112" s="116"/>
      <c r="AC112" s="121"/>
      <c r="AD112" s="122"/>
      <c r="AE112" s="122"/>
      <c r="AF112" s="116"/>
      <c r="AG112" s="123"/>
      <c r="BA112" s="15" t="str">
        <f>(IFERROR(VLOOKUP(#REF!,#REF!,7,FALSE),IFERROR(VLOOKUP(#REF!,#REF!,7,FALSE),"")))</f>
        <v/>
      </c>
    </row>
    <row r="113" spans="1:53" s="15" customFormat="1" ht="25.5" customHeight="1" x14ac:dyDescent="0.3">
      <c r="A113" s="131"/>
      <c r="B113" s="50"/>
      <c r="C113" s="50"/>
      <c r="D113" s="49"/>
      <c r="E113" s="127"/>
      <c r="F113" s="50"/>
      <c r="G113" s="50"/>
      <c r="H113" s="124"/>
      <c r="I113" s="51"/>
      <c r="J113" s="116" t="s">
        <v>61</v>
      </c>
      <c r="K113" s="140"/>
      <c r="L113" s="125"/>
      <c r="M113" s="125"/>
      <c r="N113" s="125"/>
      <c r="O113" s="125"/>
      <c r="P113" s="126" t="str">
        <f>(IFERROR(VLOOKUP(K113,[2]Sampling!$A$2:$D$995,4,FALSE),IFERROR(VLOOKUP(K113,'[2]Other Queries'!$A$2:$E$1000,5,FALSE),IFERROR(VLOOKUP(K113,'[2]Statement Confirmation'!$A$2:$F$1000,6,FALSE),""))))</f>
        <v/>
      </c>
      <c r="Q113" s="117"/>
      <c r="R113" s="51"/>
      <c r="S113" s="52" t="s">
        <v>61</v>
      </c>
      <c r="T113" s="53"/>
      <c r="U113" s="53"/>
      <c r="V113" s="54"/>
      <c r="W113" s="55"/>
      <c r="X113" s="116"/>
      <c r="Y113" s="121"/>
      <c r="Z113" s="122"/>
      <c r="AA113" s="122"/>
      <c r="AB113" s="116"/>
      <c r="AC113" s="121"/>
      <c r="AD113" s="122"/>
      <c r="AE113" s="122"/>
      <c r="AF113" s="116"/>
      <c r="AG113" s="123"/>
      <c r="BA113" s="15" t="str">
        <f>(IFERROR(VLOOKUP(#REF!,#REF!,7,FALSE),IFERROR(VLOOKUP(#REF!,#REF!,7,FALSE),"")))</f>
        <v/>
      </c>
    </row>
    <row r="114" spans="1:53" s="15" customFormat="1" ht="25.5" customHeight="1" x14ac:dyDescent="0.3">
      <c r="A114" s="131"/>
      <c r="B114" s="50"/>
      <c r="C114" s="50"/>
      <c r="D114" s="49"/>
      <c r="E114" s="127"/>
      <c r="F114" s="50"/>
      <c r="G114" s="50"/>
      <c r="H114" s="124"/>
      <c r="I114" s="51"/>
      <c r="J114" s="116" t="s">
        <v>61</v>
      </c>
      <c r="K114" s="140"/>
      <c r="L114" s="125"/>
      <c r="M114" s="125"/>
      <c r="N114" s="125"/>
      <c r="O114" s="125"/>
      <c r="P114" s="126" t="str">
        <f>(IFERROR(VLOOKUP(K114,[2]Sampling!$A$2:$D$995,4,FALSE),IFERROR(VLOOKUP(K114,'[2]Other Queries'!$A$2:$E$1000,5,FALSE),IFERROR(VLOOKUP(K114,'[2]Statement Confirmation'!$A$2:$F$1000,6,FALSE),""))))</f>
        <v/>
      </c>
      <c r="Q114" s="117"/>
      <c r="R114" s="51"/>
      <c r="S114" s="52" t="s">
        <v>61</v>
      </c>
      <c r="T114" s="53"/>
      <c r="U114" s="53"/>
      <c r="V114" s="54"/>
      <c r="W114" s="55"/>
      <c r="X114" s="116"/>
      <c r="Y114" s="121"/>
      <c r="Z114" s="122"/>
      <c r="AA114" s="122"/>
      <c r="AB114" s="116"/>
      <c r="AC114" s="121"/>
      <c r="AD114" s="122"/>
      <c r="AE114" s="122"/>
      <c r="AF114" s="116"/>
      <c r="AG114" s="123"/>
      <c r="BA114" s="15" t="str">
        <f>(IFERROR(VLOOKUP(#REF!,#REF!,7,FALSE),IFERROR(VLOOKUP(#REF!,#REF!,7,FALSE),"")))</f>
        <v/>
      </c>
    </row>
    <row r="115" spans="1:53" s="15" customFormat="1" ht="25.5" customHeight="1" x14ac:dyDescent="0.3">
      <c r="A115" s="131"/>
      <c r="B115" s="50"/>
      <c r="C115" s="50"/>
      <c r="D115" s="49"/>
      <c r="E115" s="127"/>
      <c r="F115" s="50"/>
      <c r="G115" s="50"/>
      <c r="H115" s="124"/>
      <c r="I115" s="51"/>
      <c r="J115" s="116" t="s">
        <v>61</v>
      </c>
      <c r="K115" s="140"/>
      <c r="L115" s="125"/>
      <c r="M115" s="125"/>
      <c r="N115" s="125"/>
      <c r="O115" s="125"/>
      <c r="P115" s="126" t="str">
        <f>(IFERROR(VLOOKUP(K115,[2]Sampling!$A$2:$D$995,4,FALSE),IFERROR(VLOOKUP(K115,'[2]Other Queries'!$A$2:$E$1000,5,FALSE),IFERROR(VLOOKUP(K115,'[2]Statement Confirmation'!$A$2:$F$1000,6,FALSE),""))))</f>
        <v/>
      </c>
      <c r="Q115" s="117"/>
      <c r="R115" s="51"/>
      <c r="S115" s="52" t="s">
        <v>61</v>
      </c>
      <c r="T115" s="53"/>
      <c r="U115" s="53"/>
      <c r="V115" s="54"/>
      <c r="W115" s="55"/>
      <c r="X115" s="116"/>
      <c r="Y115" s="121"/>
      <c r="Z115" s="122"/>
      <c r="AA115" s="122"/>
      <c r="AB115" s="116"/>
      <c r="AC115" s="121"/>
      <c r="AD115" s="122"/>
      <c r="AE115" s="122"/>
      <c r="AF115" s="116"/>
      <c r="AG115" s="123"/>
      <c r="BA115" s="15" t="str">
        <f>(IFERROR(VLOOKUP(#REF!,#REF!,7,FALSE),IFERROR(VLOOKUP(#REF!,#REF!,7,FALSE),"")))</f>
        <v/>
      </c>
    </row>
    <row r="116" spans="1:53" s="15" customFormat="1" ht="25.5" customHeight="1" x14ac:dyDescent="0.3">
      <c r="A116" s="131"/>
      <c r="B116" s="50"/>
      <c r="C116" s="50"/>
      <c r="D116" s="49"/>
      <c r="E116" s="127"/>
      <c r="F116" s="50"/>
      <c r="G116" s="50"/>
      <c r="H116" s="124"/>
      <c r="I116" s="51"/>
      <c r="J116" s="116" t="s">
        <v>61</v>
      </c>
      <c r="K116" s="140"/>
      <c r="L116" s="125"/>
      <c r="M116" s="125"/>
      <c r="N116" s="125"/>
      <c r="O116" s="125"/>
      <c r="P116" s="126" t="str">
        <f>(IFERROR(VLOOKUP(K116,[2]Sampling!$A$2:$D$995,4,FALSE),IFERROR(VLOOKUP(K116,'[2]Other Queries'!$A$2:$E$1000,5,FALSE),IFERROR(VLOOKUP(K116,'[2]Statement Confirmation'!$A$2:$F$1000,6,FALSE),""))))</f>
        <v/>
      </c>
      <c r="Q116" s="117"/>
      <c r="R116" s="51"/>
      <c r="S116" s="52" t="s">
        <v>61</v>
      </c>
      <c r="T116" s="53"/>
      <c r="U116" s="53"/>
      <c r="V116" s="54"/>
      <c r="W116" s="55"/>
      <c r="X116" s="116"/>
      <c r="Y116" s="121"/>
      <c r="Z116" s="122"/>
      <c r="AA116" s="122"/>
      <c r="AB116" s="116"/>
      <c r="AC116" s="121"/>
      <c r="AD116" s="122"/>
      <c r="AE116" s="122"/>
      <c r="AF116" s="116"/>
      <c r="AG116" s="123"/>
      <c r="BA116" s="15" t="str">
        <f>(IFERROR(VLOOKUP(#REF!,#REF!,7,FALSE),IFERROR(VLOOKUP(#REF!,#REF!,7,FALSE),"")))</f>
        <v/>
      </c>
    </row>
    <row r="117" spans="1:53" s="15" customFormat="1" ht="25.5" customHeight="1" x14ac:dyDescent="0.3">
      <c r="A117" s="131"/>
      <c r="B117" s="50"/>
      <c r="C117" s="50"/>
      <c r="D117" s="49"/>
      <c r="E117" s="127"/>
      <c r="F117" s="50"/>
      <c r="G117" s="50"/>
      <c r="H117" s="124"/>
      <c r="I117" s="51"/>
      <c r="J117" s="116" t="s">
        <v>61</v>
      </c>
      <c r="K117" s="140"/>
      <c r="L117" s="125"/>
      <c r="M117" s="125"/>
      <c r="N117" s="125"/>
      <c r="O117" s="125"/>
      <c r="P117" s="126" t="str">
        <f>(IFERROR(VLOOKUP(K117,[2]Sampling!$A$2:$D$995,4,FALSE),IFERROR(VLOOKUP(K117,'[2]Other Queries'!$A$2:$E$1000,5,FALSE),IFERROR(VLOOKUP(K117,'[2]Statement Confirmation'!$A$2:$F$1000,6,FALSE),""))))</f>
        <v/>
      </c>
      <c r="Q117" s="117"/>
      <c r="R117" s="51"/>
      <c r="S117" s="52" t="s">
        <v>61</v>
      </c>
      <c r="T117" s="53"/>
      <c r="U117" s="53"/>
      <c r="V117" s="54"/>
      <c r="W117" s="55"/>
      <c r="X117" s="116"/>
      <c r="Y117" s="121"/>
      <c r="Z117" s="122"/>
      <c r="AA117" s="122"/>
      <c r="AB117" s="116"/>
      <c r="AC117" s="121"/>
      <c r="AD117" s="122"/>
      <c r="AE117" s="122"/>
      <c r="AF117" s="116"/>
      <c r="AG117" s="123"/>
      <c r="BA117" s="15" t="str">
        <f>(IFERROR(VLOOKUP(#REF!,#REF!,7,FALSE),IFERROR(VLOOKUP(#REF!,#REF!,7,FALSE),"")))</f>
        <v/>
      </c>
    </row>
    <row r="118" spans="1:53" s="15" customFormat="1" ht="25.5" customHeight="1" x14ac:dyDescent="0.3">
      <c r="A118" s="131"/>
      <c r="B118" s="50"/>
      <c r="C118" s="50"/>
      <c r="D118" s="49"/>
      <c r="E118" s="127"/>
      <c r="F118" s="50"/>
      <c r="G118" s="50"/>
      <c r="H118" s="124"/>
      <c r="I118" s="51"/>
      <c r="J118" s="116" t="s">
        <v>61</v>
      </c>
      <c r="K118" s="140"/>
      <c r="L118" s="125"/>
      <c r="M118" s="125"/>
      <c r="N118" s="125"/>
      <c r="O118" s="125"/>
      <c r="P118" s="126" t="str">
        <f>(IFERROR(VLOOKUP(K118,[2]Sampling!$A$2:$D$995,4,FALSE),IFERROR(VLOOKUP(K118,'[2]Other Queries'!$A$2:$E$1000,5,FALSE),IFERROR(VLOOKUP(K118,'[2]Statement Confirmation'!$A$2:$F$1000,6,FALSE),""))))</f>
        <v/>
      </c>
      <c r="Q118" s="117"/>
      <c r="R118" s="51"/>
      <c r="S118" s="52" t="s">
        <v>61</v>
      </c>
      <c r="T118" s="53"/>
      <c r="U118" s="53"/>
      <c r="V118" s="54"/>
      <c r="W118" s="55"/>
      <c r="X118" s="116"/>
      <c r="Y118" s="121"/>
      <c r="Z118" s="122"/>
      <c r="AA118" s="122"/>
      <c r="AB118" s="116"/>
      <c r="AC118" s="121"/>
      <c r="AD118" s="122"/>
      <c r="AE118" s="122"/>
      <c r="AF118" s="116"/>
      <c r="AG118" s="123"/>
      <c r="BA118" s="15" t="str">
        <f>(IFERROR(VLOOKUP(#REF!,#REF!,7,FALSE),IFERROR(VLOOKUP(#REF!,#REF!,7,FALSE),"")))</f>
        <v/>
      </c>
    </row>
    <row r="119" spans="1:53" s="15" customFormat="1" ht="25.5" customHeight="1" x14ac:dyDescent="0.3">
      <c r="A119" s="131"/>
      <c r="B119" s="50"/>
      <c r="C119" s="50"/>
      <c r="D119" s="49"/>
      <c r="E119" s="127"/>
      <c r="F119" s="50"/>
      <c r="G119" s="50"/>
      <c r="H119" s="124"/>
      <c r="I119" s="51"/>
      <c r="J119" s="116" t="s">
        <v>61</v>
      </c>
      <c r="K119" s="140"/>
      <c r="L119" s="125"/>
      <c r="M119" s="125"/>
      <c r="N119" s="125"/>
      <c r="O119" s="125"/>
      <c r="P119" s="126" t="str">
        <f>(IFERROR(VLOOKUP(K119,[2]Sampling!$A$2:$D$995,4,FALSE),IFERROR(VLOOKUP(K119,'[2]Other Queries'!$A$2:$E$1000,5,FALSE),IFERROR(VLOOKUP(K119,'[2]Statement Confirmation'!$A$2:$F$1000,6,FALSE),""))))</f>
        <v/>
      </c>
      <c r="Q119" s="117"/>
      <c r="R119" s="51"/>
      <c r="S119" s="52" t="s">
        <v>61</v>
      </c>
      <c r="T119" s="53"/>
      <c r="U119" s="53"/>
      <c r="V119" s="54"/>
      <c r="W119" s="55"/>
      <c r="X119" s="116"/>
      <c r="Y119" s="121"/>
      <c r="Z119" s="122"/>
      <c r="AA119" s="122"/>
      <c r="AB119" s="116"/>
      <c r="AC119" s="121"/>
      <c r="AD119" s="122"/>
      <c r="AE119" s="122"/>
      <c r="AF119" s="116"/>
      <c r="AG119" s="123"/>
      <c r="BA119" s="15" t="str">
        <f>(IFERROR(VLOOKUP(#REF!,#REF!,7,FALSE),IFERROR(VLOOKUP(#REF!,#REF!,7,FALSE),"")))</f>
        <v/>
      </c>
    </row>
    <row r="120" spans="1:53" s="15" customFormat="1" ht="25.5" customHeight="1" x14ac:dyDescent="0.3">
      <c r="A120" s="131"/>
      <c r="B120" s="50"/>
      <c r="C120" s="50"/>
      <c r="D120" s="49"/>
      <c r="E120" s="127"/>
      <c r="F120" s="50"/>
      <c r="G120" s="50"/>
      <c r="H120" s="124"/>
      <c r="I120" s="51"/>
      <c r="J120" s="116" t="s">
        <v>61</v>
      </c>
      <c r="K120" s="140"/>
      <c r="L120" s="125"/>
      <c r="M120" s="125"/>
      <c r="N120" s="125"/>
      <c r="O120" s="125"/>
      <c r="P120" s="126" t="str">
        <f>(IFERROR(VLOOKUP(K120,[2]Sampling!$A$2:$D$995,4,FALSE),IFERROR(VLOOKUP(K120,'[2]Other Queries'!$A$2:$E$1000,5,FALSE),IFERROR(VLOOKUP(K120,'[2]Statement Confirmation'!$A$2:$F$1000,6,FALSE),""))))</f>
        <v/>
      </c>
      <c r="Q120" s="117"/>
      <c r="R120" s="51"/>
      <c r="S120" s="52" t="s">
        <v>61</v>
      </c>
      <c r="T120" s="53"/>
      <c r="U120" s="53"/>
      <c r="V120" s="54"/>
      <c r="W120" s="55"/>
      <c r="X120" s="116"/>
      <c r="Y120" s="121"/>
      <c r="Z120" s="122"/>
      <c r="AA120" s="122"/>
      <c r="AB120" s="116"/>
      <c r="AC120" s="121"/>
      <c r="AD120" s="122"/>
      <c r="AE120" s="122"/>
      <c r="AF120" s="116"/>
      <c r="AG120" s="123"/>
    </row>
    <row r="121" spans="1:53" s="15" customFormat="1" ht="25.5" customHeight="1" x14ac:dyDescent="0.3">
      <c r="A121" s="131"/>
      <c r="B121" s="50"/>
      <c r="C121" s="50"/>
      <c r="D121" s="49"/>
      <c r="E121" s="127"/>
      <c r="F121" s="50"/>
      <c r="G121" s="50"/>
      <c r="H121" s="124"/>
      <c r="I121" s="51"/>
      <c r="J121" s="116" t="s">
        <v>61</v>
      </c>
      <c r="K121" s="140"/>
      <c r="L121" s="125"/>
      <c r="M121" s="125"/>
      <c r="N121" s="125"/>
      <c r="O121" s="125"/>
      <c r="P121" s="126" t="str">
        <f>(IFERROR(VLOOKUP(K121,[2]Sampling!$A$2:$D$995,4,FALSE),IFERROR(VLOOKUP(K121,'[2]Other Queries'!$A$2:$E$1000,5,FALSE),IFERROR(VLOOKUP(K121,'[2]Statement Confirmation'!$A$2:$F$1000,6,FALSE),""))))</f>
        <v/>
      </c>
      <c r="Q121" s="117"/>
      <c r="R121" s="51"/>
      <c r="S121" s="52" t="s">
        <v>61</v>
      </c>
      <c r="T121" s="53"/>
      <c r="U121" s="53"/>
      <c r="V121" s="54"/>
      <c r="W121" s="55"/>
      <c r="X121" s="116"/>
      <c r="Y121" s="121"/>
      <c r="Z121" s="122"/>
      <c r="AA121" s="122"/>
      <c r="AB121" s="116"/>
      <c r="AC121" s="121"/>
      <c r="AD121" s="122"/>
      <c r="AE121" s="122"/>
      <c r="AF121" s="116"/>
      <c r="AG121" s="123"/>
    </row>
    <row r="122" spans="1:53" s="15" customFormat="1" ht="25.5" customHeight="1" x14ac:dyDescent="0.3">
      <c r="A122" s="131"/>
      <c r="B122" s="50"/>
      <c r="C122" s="50"/>
      <c r="D122" s="49"/>
      <c r="E122" s="127"/>
      <c r="F122" s="50"/>
      <c r="G122" s="50"/>
      <c r="H122" s="124"/>
      <c r="I122" s="51"/>
      <c r="J122" s="116" t="s">
        <v>61</v>
      </c>
      <c r="K122" s="140"/>
      <c r="L122" s="125"/>
      <c r="M122" s="125"/>
      <c r="N122" s="125"/>
      <c r="O122" s="125"/>
      <c r="P122" s="126" t="str">
        <f>(IFERROR(VLOOKUP(K122,[2]Sampling!$A$2:$D$995,4,FALSE),IFERROR(VLOOKUP(K122,'[2]Other Queries'!$A$2:$E$1000,5,FALSE),IFERROR(VLOOKUP(K122,'[2]Statement Confirmation'!$A$2:$F$1000,6,FALSE),""))))</f>
        <v/>
      </c>
      <c r="Q122" s="117"/>
      <c r="R122" s="51"/>
      <c r="S122" s="52" t="s">
        <v>61</v>
      </c>
      <c r="T122" s="53"/>
      <c r="U122" s="53"/>
      <c r="V122" s="54"/>
      <c r="W122" s="55"/>
      <c r="X122" s="116"/>
      <c r="Y122" s="121"/>
      <c r="Z122" s="122"/>
      <c r="AA122" s="122"/>
      <c r="AB122" s="116"/>
      <c r="AC122" s="121"/>
      <c r="AD122" s="122"/>
      <c r="AE122" s="122"/>
      <c r="AF122" s="116"/>
      <c r="AG122" s="123"/>
    </row>
    <row r="123" spans="1:53" s="15" customFormat="1" ht="25.5" customHeight="1" x14ac:dyDescent="0.3">
      <c r="A123" s="131"/>
      <c r="B123" s="50"/>
      <c r="C123" s="50"/>
      <c r="D123" s="49"/>
      <c r="E123" s="127"/>
      <c r="F123" s="50"/>
      <c r="G123" s="50"/>
      <c r="H123" s="124"/>
      <c r="I123" s="51"/>
      <c r="J123" s="116" t="s">
        <v>61</v>
      </c>
      <c r="K123" s="140"/>
      <c r="L123" s="125"/>
      <c r="M123" s="125"/>
      <c r="N123" s="125"/>
      <c r="O123" s="125"/>
      <c r="P123" s="126" t="str">
        <f>(IFERROR(VLOOKUP(K123,[2]Sampling!$A$2:$D$995,4,FALSE),IFERROR(VLOOKUP(K123,'[2]Other Queries'!$A$2:$E$1000,5,FALSE),IFERROR(VLOOKUP(K123,'[2]Statement Confirmation'!$A$2:$F$1000,6,FALSE),""))))</f>
        <v/>
      </c>
      <c r="Q123" s="117"/>
      <c r="R123" s="51"/>
      <c r="S123" s="52" t="s">
        <v>61</v>
      </c>
      <c r="T123" s="53"/>
      <c r="U123" s="53"/>
      <c r="V123" s="54"/>
      <c r="W123" s="55"/>
      <c r="X123" s="116"/>
      <c r="Y123" s="121"/>
      <c r="Z123" s="122"/>
      <c r="AA123" s="122"/>
      <c r="AB123" s="116"/>
      <c r="AC123" s="121"/>
      <c r="AD123" s="122"/>
      <c r="AE123" s="122"/>
      <c r="AF123" s="116"/>
      <c r="AG123" s="123"/>
    </row>
    <row r="124" spans="1:53" s="15" customFormat="1" ht="25.5" customHeight="1" x14ac:dyDescent="0.3">
      <c r="A124" s="131"/>
      <c r="B124" s="50"/>
      <c r="C124" s="50"/>
      <c r="D124" s="49"/>
      <c r="E124" s="127"/>
      <c r="F124" s="50"/>
      <c r="G124" s="50"/>
      <c r="H124" s="124"/>
      <c r="I124" s="51"/>
      <c r="J124" s="116" t="s">
        <v>61</v>
      </c>
      <c r="K124" s="140"/>
      <c r="L124" s="125"/>
      <c r="M124" s="125"/>
      <c r="N124" s="125"/>
      <c r="O124" s="125"/>
      <c r="P124" s="126" t="str">
        <f>(IFERROR(VLOOKUP(K124,[2]Sampling!$A$2:$D$995,4,FALSE),IFERROR(VLOOKUP(K124,'[2]Other Queries'!$A$2:$E$1000,5,FALSE),IFERROR(VLOOKUP(K124,'[2]Statement Confirmation'!$A$2:$F$1000,6,FALSE),""))))</f>
        <v/>
      </c>
      <c r="Q124" s="117"/>
      <c r="R124" s="51"/>
      <c r="S124" s="52" t="s">
        <v>61</v>
      </c>
      <c r="T124" s="53"/>
      <c r="U124" s="53"/>
      <c r="V124" s="54"/>
      <c r="W124" s="55"/>
      <c r="X124" s="116"/>
      <c r="Y124" s="121"/>
      <c r="Z124" s="122"/>
      <c r="AA124" s="122"/>
      <c r="AB124" s="116"/>
      <c r="AC124" s="121"/>
      <c r="AD124" s="122"/>
      <c r="AE124" s="122"/>
      <c r="AF124" s="116"/>
      <c r="AG124" s="123"/>
    </row>
    <row r="125" spans="1:53" s="15" customFormat="1" ht="25.5" customHeight="1" x14ac:dyDescent="0.3">
      <c r="A125" s="131"/>
      <c r="B125" s="50"/>
      <c r="C125" s="50"/>
      <c r="D125" s="49"/>
      <c r="E125" s="127"/>
      <c r="F125" s="50"/>
      <c r="G125" s="50"/>
      <c r="H125" s="124"/>
      <c r="I125" s="51"/>
      <c r="J125" s="116" t="s">
        <v>61</v>
      </c>
      <c r="K125" s="140"/>
      <c r="L125" s="125"/>
      <c r="M125" s="125"/>
      <c r="N125" s="125"/>
      <c r="O125" s="125"/>
      <c r="P125" s="126" t="str">
        <f>(IFERROR(VLOOKUP(K125,[2]Sampling!$A$2:$D$995,4,FALSE),IFERROR(VLOOKUP(K125,'[2]Other Queries'!$A$2:$E$1000,5,FALSE),IFERROR(VLOOKUP(K125,'[2]Statement Confirmation'!$A$2:$F$1000,6,FALSE),""))))</f>
        <v/>
      </c>
      <c r="Q125" s="117"/>
      <c r="R125" s="51"/>
      <c r="S125" s="52" t="s">
        <v>61</v>
      </c>
      <c r="T125" s="53"/>
      <c r="U125" s="53"/>
      <c r="V125" s="54"/>
      <c r="W125" s="55"/>
      <c r="X125" s="116"/>
      <c r="Y125" s="121"/>
      <c r="Z125" s="122"/>
      <c r="AA125" s="122"/>
      <c r="AB125" s="116"/>
      <c r="AC125" s="121"/>
      <c r="AD125" s="122"/>
      <c r="AE125" s="122"/>
      <c r="AF125" s="116"/>
      <c r="AG125" s="123"/>
    </row>
    <row r="126" spans="1:53" s="15" customFormat="1" ht="25.5" customHeight="1" x14ac:dyDescent="0.3">
      <c r="A126" s="131"/>
      <c r="B126" s="50"/>
      <c r="C126" s="50"/>
      <c r="D126" s="49"/>
      <c r="E126" s="127"/>
      <c r="F126" s="50"/>
      <c r="G126" s="50"/>
      <c r="H126" s="124"/>
      <c r="I126" s="51"/>
      <c r="J126" s="116" t="s">
        <v>61</v>
      </c>
      <c r="K126" s="140"/>
      <c r="L126" s="125"/>
      <c r="M126" s="125"/>
      <c r="N126" s="125"/>
      <c r="O126" s="125"/>
      <c r="P126" s="126" t="str">
        <f>(IFERROR(VLOOKUP(K126,[2]Sampling!$A$2:$D$995,4,FALSE),IFERROR(VLOOKUP(K126,'[2]Other Queries'!$A$2:$E$1000,5,FALSE),IFERROR(VLOOKUP(K126,'[2]Statement Confirmation'!$A$2:$F$1000,6,FALSE),""))))</f>
        <v/>
      </c>
      <c r="Q126" s="117"/>
      <c r="R126" s="51"/>
      <c r="S126" s="52" t="s">
        <v>61</v>
      </c>
      <c r="T126" s="53"/>
      <c r="U126" s="53"/>
      <c r="V126" s="54"/>
      <c r="W126" s="55"/>
      <c r="X126" s="116"/>
      <c r="Y126" s="121"/>
      <c r="Z126" s="122"/>
      <c r="AA126" s="122"/>
      <c r="AB126" s="116"/>
      <c r="AC126" s="121"/>
      <c r="AD126" s="122"/>
      <c r="AE126" s="122"/>
      <c r="AF126" s="116"/>
      <c r="AG126" s="123"/>
    </row>
    <row r="127" spans="1:53" s="15" customFormat="1" ht="25.5" customHeight="1" x14ac:dyDescent="0.3">
      <c r="A127" s="131"/>
      <c r="B127" s="50"/>
      <c r="C127" s="50"/>
      <c r="D127" s="49"/>
      <c r="E127" s="127"/>
      <c r="F127" s="50"/>
      <c r="G127" s="50"/>
      <c r="H127" s="124"/>
      <c r="I127" s="51"/>
      <c r="J127" s="116" t="s">
        <v>61</v>
      </c>
      <c r="K127" s="140"/>
      <c r="L127" s="125"/>
      <c r="M127" s="125"/>
      <c r="N127" s="125"/>
      <c r="O127" s="125"/>
      <c r="P127" s="126" t="str">
        <f>(IFERROR(VLOOKUP(K127,[2]Sampling!$A$2:$D$995,4,FALSE),IFERROR(VLOOKUP(K127,'[2]Other Queries'!$A$2:$E$1000,5,FALSE),IFERROR(VLOOKUP(K127,'[2]Statement Confirmation'!$A$2:$F$1000,6,FALSE),""))))</f>
        <v/>
      </c>
      <c r="Q127" s="117"/>
      <c r="R127" s="51"/>
      <c r="S127" s="52" t="s">
        <v>61</v>
      </c>
      <c r="T127" s="53"/>
      <c r="U127" s="53"/>
      <c r="V127" s="54"/>
      <c r="W127" s="55"/>
      <c r="X127" s="116"/>
      <c r="Y127" s="121"/>
      <c r="Z127" s="122"/>
      <c r="AA127" s="122"/>
      <c r="AB127" s="116"/>
      <c r="AC127" s="121"/>
      <c r="AD127" s="122"/>
      <c r="AE127" s="122"/>
      <c r="AF127" s="116"/>
      <c r="AG127" s="123"/>
    </row>
    <row r="128" spans="1:53" s="15" customFormat="1" ht="25.5" customHeight="1" x14ac:dyDescent="0.3">
      <c r="A128" s="131"/>
      <c r="B128" s="50"/>
      <c r="C128" s="50"/>
      <c r="D128" s="49"/>
      <c r="E128" s="127"/>
      <c r="F128" s="50"/>
      <c r="G128" s="50"/>
      <c r="H128" s="124"/>
      <c r="I128" s="51"/>
      <c r="J128" s="116" t="s">
        <v>61</v>
      </c>
      <c r="K128" s="140"/>
      <c r="L128" s="125"/>
      <c r="M128" s="125"/>
      <c r="N128" s="125"/>
      <c r="O128" s="125"/>
      <c r="P128" s="126" t="str">
        <f>(IFERROR(VLOOKUP(K128,[2]Sampling!$A$2:$D$995,4,FALSE),IFERROR(VLOOKUP(K128,'[2]Other Queries'!$A$2:$E$1000,5,FALSE),IFERROR(VLOOKUP(K128,'[2]Statement Confirmation'!$A$2:$F$1000,6,FALSE),""))))</f>
        <v/>
      </c>
      <c r="Q128" s="117"/>
      <c r="R128" s="51"/>
      <c r="S128" s="52" t="s">
        <v>61</v>
      </c>
      <c r="T128" s="53"/>
      <c r="U128" s="53"/>
      <c r="V128" s="54"/>
      <c r="W128" s="55"/>
      <c r="X128" s="116"/>
      <c r="Y128" s="121"/>
      <c r="Z128" s="122"/>
      <c r="AA128" s="122"/>
      <c r="AB128" s="116"/>
      <c r="AC128" s="121"/>
      <c r="AD128" s="122"/>
      <c r="AE128" s="122"/>
      <c r="AF128" s="116"/>
      <c r="AG128" s="123"/>
    </row>
    <row r="129" spans="1:33" s="15" customFormat="1" ht="25.5" customHeight="1" x14ac:dyDescent="0.3">
      <c r="A129" s="131"/>
      <c r="B129" s="50"/>
      <c r="C129" s="50"/>
      <c r="D129" s="49"/>
      <c r="E129" s="127"/>
      <c r="F129" s="50"/>
      <c r="G129" s="50"/>
      <c r="H129" s="124"/>
      <c r="I129" s="51"/>
      <c r="J129" s="116" t="s">
        <v>61</v>
      </c>
      <c r="K129" s="140"/>
      <c r="L129" s="125"/>
      <c r="M129" s="125"/>
      <c r="N129" s="125"/>
      <c r="O129" s="125"/>
      <c r="P129" s="126" t="str">
        <f>(IFERROR(VLOOKUP(K129,[2]Sampling!$A$2:$D$995,4,FALSE),IFERROR(VLOOKUP(K129,'[2]Other Queries'!$A$2:$E$1000,5,FALSE),IFERROR(VLOOKUP(K129,'[2]Statement Confirmation'!$A$2:$F$1000,6,FALSE),""))))</f>
        <v/>
      </c>
      <c r="Q129" s="117"/>
      <c r="R129" s="51"/>
      <c r="S129" s="52" t="s">
        <v>61</v>
      </c>
      <c r="T129" s="53"/>
      <c r="U129" s="53"/>
      <c r="V129" s="54"/>
      <c r="W129" s="55"/>
      <c r="X129" s="116"/>
      <c r="Y129" s="121"/>
      <c r="Z129" s="122"/>
      <c r="AA129" s="122"/>
      <c r="AB129" s="116"/>
      <c r="AC129" s="121"/>
      <c r="AD129" s="122"/>
      <c r="AE129" s="122"/>
      <c r="AF129" s="116"/>
      <c r="AG129" s="123"/>
    </row>
    <row r="130" spans="1:33" s="15" customFormat="1" ht="25.5" customHeight="1" x14ac:dyDescent="0.3">
      <c r="A130" s="131"/>
      <c r="B130" s="50"/>
      <c r="C130" s="50"/>
      <c r="D130" s="49"/>
      <c r="E130" s="127"/>
      <c r="F130" s="50"/>
      <c r="G130" s="50"/>
      <c r="H130" s="124"/>
      <c r="I130" s="51"/>
      <c r="J130" s="116" t="s">
        <v>61</v>
      </c>
      <c r="K130" s="140"/>
      <c r="L130" s="125"/>
      <c r="M130" s="125"/>
      <c r="N130" s="125"/>
      <c r="O130" s="125"/>
      <c r="P130" s="126" t="str">
        <f>(IFERROR(VLOOKUP(K130,[2]Sampling!$A$2:$D$995,4,FALSE),IFERROR(VLOOKUP(K130,'[2]Other Queries'!$A$2:$E$1000,5,FALSE),IFERROR(VLOOKUP(K130,'[2]Statement Confirmation'!$A$2:$F$1000,6,FALSE),""))))</f>
        <v/>
      </c>
      <c r="Q130" s="117"/>
      <c r="R130" s="51"/>
      <c r="S130" s="52" t="s">
        <v>61</v>
      </c>
      <c r="T130" s="53"/>
      <c r="U130" s="53"/>
      <c r="V130" s="54"/>
      <c r="W130" s="55"/>
      <c r="X130" s="116"/>
      <c r="Y130" s="121"/>
      <c r="Z130" s="122"/>
      <c r="AA130" s="122"/>
      <c r="AB130" s="116"/>
      <c r="AC130" s="121"/>
      <c r="AD130" s="122"/>
      <c r="AE130" s="122"/>
      <c r="AF130" s="116"/>
      <c r="AG130" s="123"/>
    </row>
    <row r="131" spans="1:33" s="15" customFormat="1" ht="25.5" customHeight="1" x14ac:dyDescent="0.3">
      <c r="A131" s="131"/>
      <c r="B131" s="50"/>
      <c r="C131" s="50"/>
      <c r="D131" s="49"/>
      <c r="E131" s="127"/>
      <c r="F131" s="50"/>
      <c r="G131" s="50"/>
      <c r="H131" s="124"/>
      <c r="I131" s="51"/>
      <c r="J131" s="116" t="s">
        <v>61</v>
      </c>
      <c r="K131" s="140"/>
      <c r="L131" s="125"/>
      <c r="M131" s="125"/>
      <c r="N131" s="125"/>
      <c r="O131" s="125"/>
      <c r="P131" s="126" t="str">
        <f>(IFERROR(VLOOKUP(K131,[2]Sampling!$A$2:$D$995,4,FALSE),IFERROR(VLOOKUP(K131,'[2]Other Queries'!$A$2:$E$1000,5,FALSE),IFERROR(VLOOKUP(K131,'[2]Statement Confirmation'!$A$2:$F$1000,6,FALSE),""))))</f>
        <v/>
      </c>
      <c r="Q131" s="117"/>
      <c r="R131" s="51"/>
      <c r="S131" s="52" t="s">
        <v>61</v>
      </c>
      <c r="T131" s="53"/>
      <c r="U131" s="53"/>
      <c r="V131" s="54"/>
      <c r="W131" s="55"/>
      <c r="X131" s="116"/>
      <c r="Y131" s="121"/>
      <c r="Z131" s="122"/>
      <c r="AA131" s="122"/>
      <c r="AB131" s="116"/>
      <c r="AC131" s="121"/>
      <c r="AD131" s="122"/>
      <c r="AE131" s="122"/>
      <c r="AF131" s="116"/>
      <c r="AG131" s="123"/>
    </row>
    <row r="132" spans="1:33" s="15" customFormat="1" ht="25.5" customHeight="1" x14ac:dyDescent="0.3">
      <c r="A132" s="131"/>
      <c r="B132" s="50"/>
      <c r="C132" s="50"/>
      <c r="D132" s="49"/>
      <c r="E132" s="127"/>
      <c r="F132" s="50"/>
      <c r="G132" s="50"/>
      <c r="H132" s="124"/>
      <c r="I132" s="51"/>
      <c r="J132" s="116" t="s">
        <v>61</v>
      </c>
      <c r="K132" s="140"/>
      <c r="L132" s="125"/>
      <c r="M132" s="125"/>
      <c r="N132" s="125"/>
      <c r="O132" s="125"/>
      <c r="P132" s="126" t="str">
        <f>(IFERROR(VLOOKUP(K132,[2]Sampling!$A$2:$D$995,4,FALSE),IFERROR(VLOOKUP(K132,'[2]Other Queries'!$A$2:$E$1000,5,FALSE),IFERROR(VLOOKUP(K132,'[2]Statement Confirmation'!$A$2:$F$1000,6,FALSE),""))))</f>
        <v/>
      </c>
      <c r="Q132" s="117"/>
      <c r="R132" s="51"/>
      <c r="S132" s="52" t="s">
        <v>61</v>
      </c>
      <c r="T132" s="53"/>
      <c r="U132" s="53"/>
      <c r="V132" s="54"/>
      <c r="W132" s="55"/>
      <c r="X132" s="116"/>
      <c r="Y132" s="121"/>
      <c r="Z132" s="122"/>
      <c r="AA132" s="122"/>
      <c r="AB132" s="116"/>
      <c r="AC132" s="121"/>
      <c r="AD132" s="122"/>
      <c r="AE132" s="122"/>
      <c r="AF132" s="116"/>
      <c r="AG132" s="123"/>
    </row>
    <row r="133" spans="1:33" s="15" customFormat="1" ht="25.5" customHeight="1" x14ac:dyDescent="0.3">
      <c r="A133" s="131"/>
      <c r="B133" s="50"/>
      <c r="C133" s="50"/>
      <c r="D133" s="49"/>
      <c r="E133" s="127"/>
      <c r="F133" s="50"/>
      <c r="G133" s="50"/>
      <c r="H133" s="124"/>
      <c r="I133" s="51"/>
      <c r="J133" s="116" t="s">
        <v>61</v>
      </c>
      <c r="K133" s="140"/>
      <c r="L133" s="125"/>
      <c r="M133" s="125"/>
      <c r="N133" s="125"/>
      <c r="O133" s="125"/>
      <c r="P133" s="126" t="str">
        <f>(IFERROR(VLOOKUP(K133,[2]Sampling!$A$2:$D$995,4,FALSE),IFERROR(VLOOKUP(K133,'[2]Other Queries'!$A$2:$E$1000,5,FALSE),IFERROR(VLOOKUP(K133,'[2]Statement Confirmation'!$A$2:$F$1000,6,FALSE),""))))</f>
        <v/>
      </c>
      <c r="Q133" s="117"/>
      <c r="R133" s="51"/>
      <c r="S133" s="52" t="s">
        <v>61</v>
      </c>
      <c r="T133" s="53"/>
      <c r="U133" s="53"/>
      <c r="V133" s="54"/>
      <c r="W133" s="55"/>
      <c r="X133" s="116"/>
      <c r="Y133" s="121"/>
      <c r="Z133" s="122"/>
      <c r="AA133" s="122"/>
      <c r="AB133" s="116"/>
      <c r="AC133" s="121"/>
      <c r="AD133" s="122"/>
      <c r="AE133" s="122"/>
      <c r="AF133" s="116"/>
      <c r="AG133" s="123"/>
    </row>
    <row r="134" spans="1:33" s="15" customFormat="1" ht="25.5" customHeight="1" x14ac:dyDescent="0.3">
      <c r="A134" s="131"/>
      <c r="B134" s="50"/>
      <c r="C134" s="50"/>
      <c r="D134" s="49"/>
      <c r="E134" s="127"/>
      <c r="F134" s="50"/>
      <c r="G134" s="50"/>
      <c r="H134" s="124"/>
      <c r="I134" s="51"/>
      <c r="J134" s="116" t="s">
        <v>61</v>
      </c>
      <c r="K134" s="140"/>
      <c r="L134" s="125"/>
      <c r="M134" s="125"/>
      <c r="N134" s="125"/>
      <c r="O134" s="125"/>
      <c r="P134" s="126" t="str">
        <f>(IFERROR(VLOOKUP(K134,[2]Sampling!$A$2:$D$995,4,FALSE),IFERROR(VLOOKUP(K134,'[2]Other Queries'!$A$2:$E$1000,5,FALSE),IFERROR(VLOOKUP(K134,'[2]Statement Confirmation'!$A$2:$F$1000,6,FALSE),""))))</f>
        <v/>
      </c>
      <c r="Q134" s="117"/>
      <c r="R134" s="51"/>
      <c r="S134" s="52" t="s">
        <v>61</v>
      </c>
      <c r="T134" s="53"/>
      <c r="U134" s="53"/>
      <c r="V134" s="54"/>
      <c r="W134" s="55"/>
      <c r="X134" s="116"/>
      <c r="Y134" s="121"/>
      <c r="Z134" s="122"/>
      <c r="AA134" s="122"/>
      <c r="AB134" s="116"/>
      <c r="AC134" s="121"/>
      <c r="AD134" s="122"/>
      <c r="AE134" s="122"/>
      <c r="AF134" s="116"/>
      <c r="AG134" s="123"/>
    </row>
    <row r="135" spans="1:33" s="15" customFormat="1" ht="25.5" customHeight="1" x14ac:dyDescent="0.3">
      <c r="A135" s="131"/>
      <c r="B135" s="50"/>
      <c r="C135" s="50"/>
      <c r="D135" s="49"/>
      <c r="E135" s="127"/>
      <c r="F135" s="50"/>
      <c r="G135" s="50"/>
      <c r="H135" s="124"/>
      <c r="I135" s="51"/>
      <c r="J135" s="116" t="s">
        <v>61</v>
      </c>
      <c r="K135" s="140"/>
      <c r="L135" s="125"/>
      <c r="M135" s="125"/>
      <c r="N135" s="125"/>
      <c r="O135" s="125"/>
      <c r="P135" s="126" t="str">
        <f>(IFERROR(VLOOKUP(K135,[2]Sampling!$A$2:$D$995,4,FALSE),IFERROR(VLOOKUP(K135,'[2]Other Queries'!$A$2:$E$1000,5,FALSE),IFERROR(VLOOKUP(K135,'[2]Statement Confirmation'!$A$2:$F$1000,6,FALSE),""))))</f>
        <v/>
      </c>
      <c r="Q135" s="117"/>
      <c r="R135" s="51"/>
      <c r="S135" s="52" t="s">
        <v>61</v>
      </c>
      <c r="T135" s="53"/>
      <c r="U135" s="53"/>
      <c r="V135" s="54"/>
      <c r="W135" s="55"/>
      <c r="X135" s="116"/>
      <c r="Y135" s="121"/>
      <c r="Z135" s="122"/>
      <c r="AA135" s="122"/>
      <c r="AB135" s="116"/>
      <c r="AC135" s="121"/>
      <c r="AD135" s="122"/>
      <c r="AE135" s="122"/>
      <c r="AF135" s="116"/>
      <c r="AG135" s="123"/>
    </row>
    <row r="136" spans="1:33" s="15" customFormat="1" ht="25.5" customHeight="1" x14ac:dyDescent="0.3">
      <c r="A136" s="131"/>
      <c r="B136" s="50"/>
      <c r="C136" s="50"/>
      <c r="D136" s="49"/>
      <c r="E136" s="127"/>
      <c r="F136" s="50"/>
      <c r="G136" s="50"/>
      <c r="H136" s="124"/>
      <c r="I136" s="51"/>
      <c r="J136" s="116" t="s">
        <v>61</v>
      </c>
      <c r="K136" s="140"/>
      <c r="L136" s="125"/>
      <c r="M136" s="125"/>
      <c r="N136" s="125"/>
      <c r="O136" s="125"/>
      <c r="P136" s="126" t="str">
        <f>(IFERROR(VLOOKUP(K136,[2]Sampling!$A$2:$D$995,4,FALSE),IFERROR(VLOOKUP(K136,'[2]Other Queries'!$A$2:$E$1000,5,FALSE),IFERROR(VLOOKUP(K136,'[2]Statement Confirmation'!$A$2:$F$1000,6,FALSE),""))))</f>
        <v/>
      </c>
      <c r="Q136" s="117"/>
      <c r="R136" s="51"/>
      <c r="S136" s="52" t="s">
        <v>61</v>
      </c>
      <c r="T136" s="53"/>
      <c r="U136" s="53"/>
      <c r="V136" s="54"/>
      <c r="W136" s="55"/>
      <c r="X136" s="116"/>
      <c r="Y136" s="121"/>
      <c r="Z136" s="122"/>
      <c r="AA136" s="122"/>
      <c r="AB136" s="116"/>
      <c r="AC136" s="121"/>
      <c r="AD136" s="122"/>
      <c r="AE136" s="122"/>
      <c r="AF136" s="116"/>
      <c r="AG136" s="123"/>
    </row>
    <row r="137" spans="1:33" s="15" customFormat="1" ht="25.5" customHeight="1" x14ac:dyDescent="0.3">
      <c r="A137" s="131"/>
      <c r="B137" s="50"/>
      <c r="C137" s="50"/>
      <c r="D137" s="49"/>
      <c r="E137" s="127"/>
      <c r="F137" s="50"/>
      <c r="G137" s="50"/>
      <c r="H137" s="124"/>
      <c r="I137" s="51"/>
      <c r="J137" s="116" t="s">
        <v>61</v>
      </c>
      <c r="K137" s="140"/>
      <c r="L137" s="125"/>
      <c r="M137" s="125"/>
      <c r="N137" s="125"/>
      <c r="O137" s="125"/>
      <c r="P137" s="126" t="str">
        <f>(IFERROR(VLOOKUP(K137,[2]Sampling!$A$2:$D$995,4,FALSE),IFERROR(VLOOKUP(K137,'[2]Other Queries'!$A$2:$E$1000,5,FALSE),IFERROR(VLOOKUP(K137,'[2]Statement Confirmation'!$A$2:$F$1000,6,FALSE),""))))</f>
        <v/>
      </c>
      <c r="Q137" s="117"/>
      <c r="R137" s="51"/>
      <c r="S137" s="52" t="s">
        <v>61</v>
      </c>
      <c r="T137" s="53"/>
      <c r="U137" s="53"/>
      <c r="V137" s="54"/>
      <c r="W137" s="55"/>
      <c r="X137" s="116"/>
      <c r="Y137" s="121"/>
      <c r="Z137" s="122"/>
      <c r="AA137" s="122"/>
      <c r="AB137" s="116"/>
      <c r="AC137" s="121"/>
      <c r="AD137" s="122"/>
      <c r="AE137" s="122"/>
      <c r="AF137" s="116"/>
      <c r="AG137" s="123"/>
    </row>
    <row r="138" spans="1:33" s="15" customFormat="1" ht="25.5" customHeight="1" x14ac:dyDescent="0.3">
      <c r="A138" s="131"/>
      <c r="B138" s="50"/>
      <c r="C138" s="50"/>
      <c r="D138" s="49"/>
      <c r="E138" s="127"/>
      <c r="F138" s="50"/>
      <c r="G138" s="50"/>
      <c r="H138" s="124"/>
      <c r="I138" s="51"/>
      <c r="J138" s="116" t="s">
        <v>61</v>
      </c>
      <c r="K138" s="140"/>
      <c r="L138" s="125"/>
      <c r="M138" s="125"/>
      <c r="N138" s="125"/>
      <c r="O138" s="125"/>
      <c r="P138" s="126" t="str">
        <f>(IFERROR(VLOOKUP(K138,[2]Sampling!$A$2:$D$995,4,FALSE),IFERROR(VLOOKUP(K138,'[2]Other Queries'!$A$2:$E$1000,5,FALSE),IFERROR(VLOOKUP(K138,'[2]Statement Confirmation'!$A$2:$F$1000,6,FALSE),""))))</f>
        <v/>
      </c>
      <c r="Q138" s="117"/>
      <c r="R138" s="51"/>
      <c r="S138" s="52" t="s">
        <v>61</v>
      </c>
      <c r="T138" s="53"/>
      <c r="U138" s="53"/>
      <c r="V138" s="54"/>
      <c r="W138" s="55"/>
      <c r="X138" s="116"/>
      <c r="Y138" s="121"/>
      <c r="Z138" s="122"/>
      <c r="AA138" s="122"/>
      <c r="AB138" s="116"/>
      <c r="AC138" s="121"/>
      <c r="AD138" s="122"/>
      <c r="AE138" s="122"/>
      <c r="AF138" s="116"/>
      <c r="AG138" s="123"/>
    </row>
    <row r="139" spans="1:33" s="15" customFormat="1" ht="25.5" customHeight="1" x14ac:dyDescent="0.3">
      <c r="A139" s="131"/>
      <c r="B139" s="50"/>
      <c r="C139" s="50"/>
      <c r="D139" s="49"/>
      <c r="E139" s="127"/>
      <c r="F139" s="50"/>
      <c r="G139" s="50"/>
      <c r="H139" s="124"/>
      <c r="I139" s="51"/>
      <c r="J139" s="116" t="s">
        <v>61</v>
      </c>
      <c r="K139" s="140"/>
      <c r="L139" s="125"/>
      <c r="M139" s="125"/>
      <c r="N139" s="125"/>
      <c r="O139" s="125"/>
      <c r="P139" s="126" t="str">
        <f>(IFERROR(VLOOKUP(K139,[2]Sampling!$A$2:$D$995,4,FALSE),IFERROR(VLOOKUP(K139,'[2]Other Queries'!$A$2:$E$1000,5,FALSE),IFERROR(VLOOKUP(K139,'[2]Statement Confirmation'!$A$2:$F$1000,6,FALSE),""))))</f>
        <v/>
      </c>
      <c r="Q139" s="117"/>
      <c r="R139" s="51"/>
      <c r="S139" s="52" t="s">
        <v>61</v>
      </c>
      <c r="T139" s="53"/>
      <c r="U139" s="53"/>
      <c r="V139" s="54"/>
      <c r="W139" s="55"/>
      <c r="X139" s="116"/>
      <c r="Y139" s="121"/>
      <c r="Z139" s="122"/>
      <c r="AA139" s="122"/>
      <c r="AB139" s="116"/>
      <c r="AC139" s="121"/>
      <c r="AD139" s="122"/>
      <c r="AE139" s="122"/>
      <c r="AF139" s="116"/>
      <c r="AG139" s="123"/>
    </row>
    <row r="140" spans="1:33" s="15" customFormat="1" ht="25.5" customHeight="1" x14ac:dyDescent="0.3">
      <c r="A140" s="131"/>
      <c r="B140" s="50"/>
      <c r="C140" s="50"/>
      <c r="D140" s="49"/>
      <c r="E140" s="127"/>
      <c r="F140" s="50"/>
      <c r="G140" s="50"/>
      <c r="H140" s="124"/>
      <c r="I140" s="51"/>
      <c r="J140" s="116" t="s">
        <v>61</v>
      </c>
      <c r="K140" s="140"/>
      <c r="L140" s="125"/>
      <c r="M140" s="125"/>
      <c r="N140" s="125"/>
      <c r="O140" s="125"/>
      <c r="P140" s="126" t="str">
        <f>(IFERROR(VLOOKUP(K140,[2]Sampling!$A$2:$D$995,4,FALSE),IFERROR(VLOOKUP(K140,'[2]Other Queries'!$A$2:$E$1000,5,FALSE),IFERROR(VLOOKUP(K140,'[2]Statement Confirmation'!$A$2:$F$1000,6,FALSE),""))))</f>
        <v/>
      </c>
      <c r="Q140" s="117"/>
      <c r="R140" s="51"/>
      <c r="S140" s="52" t="s">
        <v>61</v>
      </c>
      <c r="T140" s="53"/>
      <c r="U140" s="53"/>
      <c r="V140" s="54"/>
      <c r="W140" s="55"/>
      <c r="X140" s="116"/>
      <c r="Y140" s="121"/>
      <c r="Z140" s="122"/>
      <c r="AA140" s="122"/>
      <c r="AB140" s="116"/>
      <c r="AC140" s="121"/>
      <c r="AD140" s="122"/>
      <c r="AE140" s="122"/>
      <c r="AF140" s="116"/>
      <c r="AG140" s="123"/>
    </row>
    <row r="141" spans="1:33" s="15" customFormat="1" ht="25.5" customHeight="1" x14ac:dyDescent="0.3">
      <c r="A141" s="131"/>
      <c r="B141" s="50"/>
      <c r="C141" s="50"/>
      <c r="D141" s="49"/>
      <c r="E141" s="127"/>
      <c r="F141" s="50"/>
      <c r="G141" s="50"/>
      <c r="H141" s="124"/>
      <c r="I141" s="51"/>
      <c r="J141" s="116" t="s">
        <v>61</v>
      </c>
      <c r="K141" s="140"/>
      <c r="L141" s="125"/>
      <c r="M141" s="125"/>
      <c r="N141" s="125"/>
      <c r="O141" s="125"/>
      <c r="P141" s="126" t="str">
        <f>(IFERROR(VLOOKUP(K141,[2]Sampling!$A$2:$D$995,4,FALSE),IFERROR(VLOOKUP(K141,'[2]Other Queries'!$A$2:$E$1000,5,FALSE),IFERROR(VLOOKUP(K141,'[2]Statement Confirmation'!$A$2:$F$1000,6,FALSE),""))))</f>
        <v/>
      </c>
      <c r="Q141" s="117"/>
      <c r="R141" s="51"/>
      <c r="S141" s="52" t="s">
        <v>61</v>
      </c>
      <c r="T141" s="53"/>
      <c r="U141" s="53"/>
      <c r="V141" s="54"/>
      <c r="W141" s="55"/>
      <c r="X141" s="116"/>
      <c r="Y141" s="121"/>
      <c r="Z141" s="122"/>
      <c r="AA141" s="122"/>
      <c r="AB141" s="116"/>
      <c r="AC141" s="121"/>
      <c r="AD141" s="122"/>
      <c r="AE141" s="122"/>
      <c r="AF141" s="116"/>
      <c r="AG141" s="123"/>
    </row>
    <row r="142" spans="1:33" s="15" customFormat="1" ht="25.5" customHeight="1" x14ac:dyDescent="0.3">
      <c r="A142" s="131"/>
      <c r="B142" s="50"/>
      <c r="C142" s="50"/>
      <c r="D142" s="49"/>
      <c r="E142" s="127"/>
      <c r="F142" s="50"/>
      <c r="G142" s="50"/>
      <c r="H142" s="124"/>
      <c r="I142" s="51"/>
      <c r="J142" s="116" t="s">
        <v>61</v>
      </c>
      <c r="K142" s="140"/>
      <c r="L142" s="125"/>
      <c r="M142" s="125"/>
      <c r="N142" s="125"/>
      <c r="O142" s="125"/>
      <c r="P142" s="126" t="str">
        <f>(IFERROR(VLOOKUP(K142,[2]Sampling!$A$2:$D$995,4,FALSE),IFERROR(VLOOKUP(K142,'[2]Other Queries'!$A$2:$E$1000,5,FALSE),IFERROR(VLOOKUP(K142,'[2]Statement Confirmation'!$A$2:$F$1000,6,FALSE),""))))</f>
        <v/>
      </c>
      <c r="Q142" s="117"/>
      <c r="R142" s="51"/>
      <c r="S142" s="52" t="s">
        <v>61</v>
      </c>
      <c r="T142" s="53"/>
      <c r="U142" s="53"/>
      <c r="V142" s="54"/>
      <c r="W142" s="55"/>
      <c r="X142" s="116"/>
      <c r="Y142" s="121"/>
      <c r="Z142" s="122"/>
      <c r="AA142" s="122"/>
      <c r="AB142" s="116"/>
      <c r="AC142" s="121"/>
      <c r="AD142" s="122"/>
      <c r="AE142" s="122"/>
      <c r="AF142" s="116"/>
      <c r="AG142" s="123"/>
    </row>
    <row r="143" spans="1:33" s="15" customFormat="1" ht="25.5" customHeight="1" x14ac:dyDescent="0.3">
      <c r="A143" s="131"/>
      <c r="B143" s="50"/>
      <c r="C143" s="50"/>
      <c r="D143" s="49"/>
      <c r="E143" s="127"/>
      <c r="F143" s="50"/>
      <c r="G143" s="50"/>
      <c r="H143" s="124"/>
      <c r="I143" s="51"/>
      <c r="J143" s="116" t="s">
        <v>61</v>
      </c>
      <c r="K143" s="140"/>
      <c r="L143" s="125"/>
      <c r="M143" s="125"/>
      <c r="N143" s="125"/>
      <c r="O143" s="125"/>
      <c r="P143" s="126" t="str">
        <f>(IFERROR(VLOOKUP(K143,[2]Sampling!$A$2:$D$995,4,FALSE),IFERROR(VLOOKUP(K143,'[2]Other Queries'!$A$2:$E$1000,5,FALSE),IFERROR(VLOOKUP(K143,'[2]Statement Confirmation'!$A$2:$F$1000,6,FALSE),""))))</f>
        <v/>
      </c>
      <c r="Q143" s="117"/>
      <c r="R143" s="51"/>
      <c r="S143" s="52" t="s">
        <v>61</v>
      </c>
      <c r="T143" s="53"/>
      <c r="U143" s="53"/>
      <c r="V143" s="54"/>
      <c r="W143" s="55"/>
      <c r="X143" s="116"/>
      <c r="Y143" s="121"/>
      <c r="Z143" s="122"/>
      <c r="AA143" s="122"/>
      <c r="AB143" s="116"/>
      <c r="AC143" s="121"/>
      <c r="AD143" s="122"/>
      <c r="AE143" s="122"/>
      <c r="AF143" s="116"/>
      <c r="AG143" s="123"/>
    </row>
    <row r="144" spans="1:33" s="15" customFormat="1" ht="25.5" customHeight="1" x14ac:dyDescent="0.3">
      <c r="A144" s="131"/>
      <c r="B144" s="50"/>
      <c r="C144" s="50"/>
      <c r="D144" s="49"/>
      <c r="E144" s="127"/>
      <c r="F144" s="50"/>
      <c r="G144" s="50"/>
      <c r="H144" s="124"/>
      <c r="I144" s="51"/>
      <c r="J144" s="116" t="s">
        <v>61</v>
      </c>
      <c r="K144" s="140"/>
      <c r="L144" s="125"/>
      <c r="M144" s="125"/>
      <c r="N144" s="125"/>
      <c r="O144" s="125"/>
      <c r="P144" s="126" t="str">
        <f>(IFERROR(VLOOKUP(K144,[2]Sampling!$A$2:$D$995,4,FALSE),IFERROR(VLOOKUP(K144,'[2]Other Queries'!$A$2:$E$1000,5,FALSE),IFERROR(VLOOKUP(K144,'[2]Statement Confirmation'!$A$2:$F$1000,6,FALSE),""))))</f>
        <v/>
      </c>
      <c r="Q144" s="117"/>
      <c r="R144" s="51"/>
      <c r="S144" s="52" t="s">
        <v>61</v>
      </c>
      <c r="T144" s="53"/>
      <c r="U144" s="53"/>
      <c r="V144" s="54"/>
      <c r="W144" s="55"/>
      <c r="X144" s="116"/>
      <c r="Y144" s="121"/>
      <c r="Z144" s="122"/>
      <c r="AA144" s="122"/>
      <c r="AB144" s="116"/>
      <c r="AC144" s="121"/>
      <c r="AD144" s="122"/>
      <c r="AE144" s="122"/>
      <c r="AF144" s="116"/>
      <c r="AG144" s="123"/>
    </row>
    <row r="145" spans="1:33" s="15" customFormat="1" ht="25.5" customHeight="1" x14ac:dyDescent="0.3">
      <c r="A145" s="131"/>
      <c r="B145" s="50"/>
      <c r="C145" s="50"/>
      <c r="D145" s="49"/>
      <c r="E145" s="127"/>
      <c r="F145" s="50"/>
      <c r="G145" s="50"/>
      <c r="H145" s="124"/>
      <c r="I145" s="51"/>
      <c r="J145" s="116" t="s">
        <v>61</v>
      </c>
      <c r="K145" s="140"/>
      <c r="L145" s="125"/>
      <c r="M145" s="125"/>
      <c r="N145" s="125"/>
      <c r="O145" s="125"/>
      <c r="P145" s="126" t="str">
        <f>(IFERROR(VLOOKUP(K145,[2]Sampling!$A$2:$D$995,4,FALSE),IFERROR(VLOOKUP(K145,'[2]Other Queries'!$A$2:$E$1000,5,FALSE),IFERROR(VLOOKUP(K145,'[2]Statement Confirmation'!$A$2:$F$1000,6,FALSE),""))))</f>
        <v/>
      </c>
      <c r="Q145" s="117"/>
      <c r="R145" s="51"/>
      <c r="S145" s="52" t="s">
        <v>61</v>
      </c>
      <c r="T145" s="53"/>
      <c r="U145" s="53"/>
      <c r="V145" s="54"/>
      <c r="W145" s="55"/>
      <c r="X145" s="116"/>
      <c r="Y145" s="121"/>
      <c r="Z145" s="122"/>
      <c r="AA145" s="122"/>
      <c r="AB145" s="116"/>
      <c r="AC145" s="121"/>
      <c r="AD145" s="122"/>
      <c r="AE145" s="122"/>
      <c r="AF145" s="116"/>
      <c r="AG145" s="123"/>
    </row>
    <row r="146" spans="1:33" s="15" customFormat="1" ht="25.5" customHeight="1" x14ac:dyDescent="0.3">
      <c r="A146" s="131"/>
      <c r="B146" s="50"/>
      <c r="C146" s="50"/>
      <c r="D146" s="49"/>
      <c r="E146" s="127"/>
      <c r="F146" s="50"/>
      <c r="G146" s="50"/>
      <c r="H146" s="124"/>
      <c r="I146" s="51"/>
      <c r="J146" s="116" t="s">
        <v>61</v>
      </c>
      <c r="K146" s="140"/>
      <c r="L146" s="125"/>
      <c r="M146" s="125"/>
      <c r="N146" s="125"/>
      <c r="O146" s="125"/>
      <c r="P146" s="126" t="str">
        <f>(IFERROR(VLOOKUP(K146,[2]Sampling!$A$2:$D$995,4,FALSE),IFERROR(VLOOKUP(K146,'[2]Other Queries'!$A$2:$E$1000,5,FALSE),IFERROR(VLOOKUP(K146,'[2]Statement Confirmation'!$A$2:$F$1000,6,FALSE),""))))</f>
        <v/>
      </c>
      <c r="Q146" s="117"/>
      <c r="R146" s="51"/>
      <c r="S146" s="52" t="s">
        <v>61</v>
      </c>
      <c r="T146" s="53"/>
      <c r="U146" s="53"/>
      <c r="V146" s="54"/>
      <c r="W146" s="55"/>
      <c r="X146" s="116"/>
      <c r="Y146" s="121"/>
      <c r="Z146" s="122"/>
      <c r="AA146" s="122"/>
      <c r="AB146" s="116"/>
      <c r="AC146" s="121"/>
      <c r="AD146" s="122"/>
      <c r="AE146" s="122"/>
      <c r="AF146" s="116"/>
      <c r="AG146" s="123"/>
    </row>
    <row r="147" spans="1:33" s="15" customFormat="1" ht="25.5" customHeight="1" x14ac:dyDescent="0.3">
      <c r="A147" s="131"/>
      <c r="B147" s="50"/>
      <c r="C147" s="50"/>
      <c r="D147" s="49"/>
      <c r="E147" s="127"/>
      <c r="F147" s="50"/>
      <c r="G147" s="50"/>
      <c r="H147" s="124"/>
      <c r="I147" s="51"/>
      <c r="J147" s="116" t="s">
        <v>61</v>
      </c>
      <c r="K147" s="140"/>
      <c r="L147" s="125"/>
      <c r="M147" s="125"/>
      <c r="N147" s="125"/>
      <c r="O147" s="125"/>
      <c r="P147" s="126" t="str">
        <f>(IFERROR(VLOOKUP(K147,[2]Sampling!$A$2:$D$995,4,FALSE),IFERROR(VLOOKUP(K147,'[2]Other Queries'!$A$2:$E$1000,5,FALSE),IFERROR(VLOOKUP(K147,'[2]Statement Confirmation'!$A$2:$F$1000,6,FALSE),""))))</f>
        <v/>
      </c>
      <c r="Q147" s="117"/>
      <c r="R147" s="51"/>
      <c r="S147" s="52" t="s">
        <v>61</v>
      </c>
      <c r="T147" s="53"/>
      <c r="U147" s="53"/>
      <c r="V147" s="54"/>
      <c r="W147" s="55"/>
      <c r="X147" s="116"/>
      <c r="Y147" s="121"/>
      <c r="Z147" s="122"/>
      <c r="AA147" s="122"/>
      <c r="AB147" s="116"/>
      <c r="AC147" s="121"/>
      <c r="AD147" s="122"/>
      <c r="AE147" s="122"/>
      <c r="AF147" s="116"/>
      <c r="AG147" s="123"/>
    </row>
    <row r="148" spans="1:33" s="15" customFormat="1" ht="25.5" customHeight="1" x14ac:dyDescent="0.3">
      <c r="A148" s="131"/>
      <c r="B148" s="50"/>
      <c r="C148" s="50"/>
      <c r="D148" s="49"/>
      <c r="E148" s="127"/>
      <c r="F148" s="50"/>
      <c r="G148" s="50"/>
      <c r="H148" s="124"/>
      <c r="I148" s="51"/>
      <c r="J148" s="116" t="s">
        <v>61</v>
      </c>
      <c r="K148" s="140"/>
      <c r="L148" s="125"/>
      <c r="M148" s="125"/>
      <c r="N148" s="125"/>
      <c r="O148" s="125"/>
      <c r="P148" s="126" t="str">
        <f>(IFERROR(VLOOKUP(K148,[2]Sampling!$A$2:$D$995,4,FALSE),IFERROR(VLOOKUP(K148,'[2]Other Queries'!$A$2:$E$1000,5,FALSE),IFERROR(VLOOKUP(K148,'[2]Statement Confirmation'!$A$2:$F$1000,6,FALSE),""))))</f>
        <v/>
      </c>
      <c r="Q148" s="117"/>
      <c r="R148" s="51"/>
      <c r="S148" s="52" t="s">
        <v>61</v>
      </c>
      <c r="T148" s="53"/>
      <c r="U148" s="53"/>
      <c r="V148" s="54"/>
      <c r="W148" s="55"/>
      <c r="X148" s="116"/>
      <c r="Y148" s="121"/>
      <c r="Z148" s="122"/>
      <c r="AA148" s="122"/>
      <c r="AB148" s="116"/>
      <c r="AC148" s="121"/>
      <c r="AD148" s="122"/>
      <c r="AE148" s="122"/>
      <c r="AF148" s="116"/>
      <c r="AG148" s="123"/>
    </row>
    <row r="149" spans="1:33" s="15" customFormat="1" ht="25.5" customHeight="1" x14ac:dyDescent="0.3">
      <c r="A149" s="131"/>
      <c r="B149" s="50"/>
      <c r="C149" s="50"/>
      <c r="D149" s="49"/>
      <c r="E149" s="127"/>
      <c r="F149" s="50"/>
      <c r="G149" s="50"/>
      <c r="H149" s="124"/>
      <c r="I149" s="51"/>
      <c r="J149" s="116" t="s">
        <v>61</v>
      </c>
      <c r="K149" s="140"/>
      <c r="L149" s="125"/>
      <c r="M149" s="125"/>
      <c r="N149" s="125"/>
      <c r="O149" s="125"/>
      <c r="P149" s="126" t="str">
        <f>(IFERROR(VLOOKUP(K149,[2]Sampling!$A$2:$D$995,4,FALSE),IFERROR(VLOOKUP(K149,'[2]Other Queries'!$A$2:$E$1000,5,FALSE),IFERROR(VLOOKUP(K149,'[2]Statement Confirmation'!$A$2:$F$1000,6,FALSE),""))))</f>
        <v/>
      </c>
      <c r="Q149" s="117"/>
      <c r="R149" s="51"/>
      <c r="S149" s="52" t="s">
        <v>61</v>
      </c>
      <c r="T149" s="53"/>
      <c r="U149" s="53"/>
      <c r="V149" s="54"/>
      <c r="W149" s="55"/>
      <c r="X149" s="116"/>
      <c r="Y149" s="121"/>
      <c r="Z149" s="122"/>
      <c r="AA149" s="122"/>
      <c r="AB149" s="116"/>
      <c r="AC149" s="121"/>
      <c r="AD149" s="122"/>
      <c r="AE149" s="122"/>
      <c r="AF149" s="116"/>
      <c r="AG149" s="123"/>
    </row>
    <row r="150" spans="1:33" s="15" customFormat="1" ht="25.5" customHeight="1" x14ac:dyDescent="0.3">
      <c r="A150" s="131"/>
      <c r="B150" s="50"/>
      <c r="C150" s="50"/>
      <c r="D150" s="49"/>
      <c r="E150" s="127"/>
      <c r="F150" s="50"/>
      <c r="G150" s="50"/>
      <c r="H150" s="124"/>
      <c r="I150" s="51"/>
      <c r="J150" s="116" t="s">
        <v>61</v>
      </c>
      <c r="K150" s="140"/>
      <c r="L150" s="125"/>
      <c r="M150" s="125"/>
      <c r="N150" s="125"/>
      <c r="O150" s="125"/>
      <c r="P150" s="126" t="str">
        <f>(IFERROR(VLOOKUP(K150,[2]Sampling!$A$2:$D$995,4,FALSE),IFERROR(VLOOKUP(K150,'[2]Other Queries'!$A$2:$E$1000,5,FALSE),IFERROR(VLOOKUP(K150,'[2]Statement Confirmation'!$A$2:$F$1000,6,FALSE),""))))</f>
        <v/>
      </c>
      <c r="Q150" s="117"/>
      <c r="R150" s="51"/>
      <c r="S150" s="52" t="s">
        <v>61</v>
      </c>
      <c r="T150" s="53"/>
      <c r="U150" s="53"/>
      <c r="V150" s="54"/>
      <c r="W150" s="55"/>
      <c r="X150" s="116"/>
      <c r="Y150" s="121"/>
      <c r="Z150" s="122"/>
      <c r="AA150" s="122"/>
      <c r="AB150" s="116"/>
      <c r="AC150" s="121"/>
      <c r="AD150" s="122"/>
      <c r="AE150" s="122"/>
      <c r="AF150" s="116"/>
      <c r="AG150" s="123"/>
    </row>
    <row r="151" spans="1:33" s="15" customFormat="1" ht="25.5" customHeight="1" x14ac:dyDescent="0.3">
      <c r="A151" s="131"/>
      <c r="B151" s="50"/>
      <c r="C151" s="50"/>
      <c r="D151" s="49"/>
      <c r="E151" s="127"/>
      <c r="F151" s="50"/>
      <c r="G151" s="50"/>
      <c r="H151" s="124"/>
      <c r="I151" s="51"/>
      <c r="J151" s="116" t="s">
        <v>61</v>
      </c>
      <c r="K151" s="140"/>
      <c r="L151" s="125"/>
      <c r="M151" s="125"/>
      <c r="N151" s="125"/>
      <c r="O151" s="125"/>
      <c r="P151" s="126" t="str">
        <f>(IFERROR(VLOOKUP(K151,[2]Sampling!$A$2:$D$995,4,FALSE),IFERROR(VLOOKUP(K151,'[2]Other Queries'!$A$2:$E$1000,5,FALSE),IFERROR(VLOOKUP(K151,'[2]Statement Confirmation'!$A$2:$F$1000,6,FALSE),""))))</f>
        <v/>
      </c>
      <c r="Q151" s="117"/>
      <c r="R151" s="51"/>
      <c r="S151" s="52" t="s">
        <v>61</v>
      </c>
      <c r="T151" s="53"/>
      <c r="U151" s="53"/>
      <c r="V151" s="54"/>
      <c r="W151" s="55"/>
      <c r="X151" s="116"/>
      <c r="Y151" s="121"/>
      <c r="Z151" s="122"/>
      <c r="AA151" s="122"/>
      <c r="AB151" s="116"/>
      <c r="AC151" s="121"/>
      <c r="AD151" s="122"/>
      <c r="AE151" s="122"/>
      <c r="AF151" s="116"/>
      <c r="AG151" s="123"/>
    </row>
    <row r="152" spans="1:33" s="15" customFormat="1" ht="25.5" customHeight="1" x14ac:dyDescent="0.3">
      <c r="A152" s="131"/>
      <c r="B152" s="50"/>
      <c r="C152" s="50"/>
      <c r="D152" s="49"/>
      <c r="E152" s="127"/>
      <c r="F152" s="50"/>
      <c r="G152" s="50"/>
      <c r="H152" s="124"/>
      <c r="I152" s="51"/>
      <c r="J152" s="116" t="s">
        <v>61</v>
      </c>
      <c r="K152" s="140"/>
      <c r="L152" s="125"/>
      <c r="M152" s="125"/>
      <c r="N152" s="125"/>
      <c r="O152" s="125"/>
      <c r="P152" s="126" t="str">
        <f>(IFERROR(VLOOKUP(K152,[2]Sampling!$A$2:$D$995,4,FALSE),IFERROR(VLOOKUP(K152,'[2]Other Queries'!$A$2:$E$1000,5,FALSE),IFERROR(VLOOKUP(K152,'[2]Statement Confirmation'!$A$2:$F$1000,6,FALSE),""))))</f>
        <v/>
      </c>
      <c r="Q152" s="117"/>
      <c r="R152" s="51"/>
      <c r="S152" s="52" t="s">
        <v>61</v>
      </c>
      <c r="T152" s="53"/>
      <c r="U152" s="53"/>
      <c r="V152" s="54"/>
      <c r="W152" s="55"/>
      <c r="X152" s="116"/>
      <c r="Y152" s="121"/>
      <c r="Z152" s="122"/>
      <c r="AA152" s="122"/>
      <c r="AB152" s="116"/>
      <c r="AC152" s="121"/>
      <c r="AD152" s="122"/>
      <c r="AE152" s="122"/>
      <c r="AF152" s="116"/>
      <c r="AG152" s="123"/>
    </row>
    <row r="153" spans="1:33" s="15" customFormat="1" ht="25.5" customHeight="1" x14ac:dyDescent="0.3">
      <c r="A153" s="131"/>
      <c r="B153" s="50"/>
      <c r="C153" s="50"/>
      <c r="D153" s="49"/>
      <c r="E153" s="127"/>
      <c r="F153" s="50"/>
      <c r="G153" s="50"/>
      <c r="H153" s="124"/>
      <c r="I153" s="51"/>
      <c r="J153" s="116" t="s">
        <v>61</v>
      </c>
      <c r="K153" s="140"/>
      <c r="L153" s="125"/>
      <c r="M153" s="125"/>
      <c r="N153" s="125"/>
      <c r="O153" s="125"/>
      <c r="P153" s="126" t="str">
        <f>(IFERROR(VLOOKUP(K153,[2]Sampling!$A$2:$D$995,4,FALSE),IFERROR(VLOOKUP(K153,'[2]Other Queries'!$A$2:$E$1000,5,FALSE),IFERROR(VLOOKUP(K153,'[2]Statement Confirmation'!$A$2:$F$1000,6,FALSE),""))))</f>
        <v/>
      </c>
      <c r="Q153" s="117"/>
      <c r="R153" s="51"/>
      <c r="S153" s="52" t="s">
        <v>61</v>
      </c>
      <c r="T153" s="53"/>
      <c r="U153" s="53"/>
      <c r="V153" s="54"/>
      <c r="W153" s="55"/>
      <c r="X153" s="116"/>
      <c r="Y153" s="121"/>
      <c r="Z153" s="122"/>
      <c r="AA153" s="122"/>
      <c r="AB153" s="116"/>
      <c r="AC153" s="121"/>
      <c r="AD153" s="122"/>
      <c r="AE153" s="122"/>
      <c r="AF153" s="116"/>
      <c r="AG153" s="123"/>
    </row>
    <row r="154" spans="1:33" s="15" customFormat="1" ht="25.5" customHeight="1" x14ac:dyDescent="0.3">
      <c r="A154" s="131"/>
      <c r="B154" s="50"/>
      <c r="C154" s="50"/>
      <c r="D154" s="49"/>
      <c r="E154" s="127"/>
      <c r="F154" s="50"/>
      <c r="G154" s="50"/>
      <c r="H154" s="124"/>
      <c r="I154" s="51"/>
      <c r="J154" s="116" t="s">
        <v>61</v>
      </c>
      <c r="K154" s="140"/>
      <c r="L154" s="125"/>
      <c r="M154" s="125"/>
      <c r="N154" s="125"/>
      <c r="O154" s="125"/>
      <c r="P154" s="126" t="str">
        <f>(IFERROR(VLOOKUP(K154,[2]Sampling!$A$2:$D$995,4,FALSE),IFERROR(VLOOKUP(K154,'[2]Other Queries'!$A$2:$E$1000,5,FALSE),IFERROR(VLOOKUP(K154,'[2]Statement Confirmation'!$A$2:$F$1000,6,FALSE),""))))</f>
        <v/>
      </c>
      <c r="Q154" s="117"/>
      <c r="R154" s="51"/>
      <c r="S154" s="52" t="s">
        <v>61</v>
      </c>
      <c r="T154" s="53"/>
      <c r="U154" s="53"/>
      <c r="V154" s="54"/>
      <c r="W154" s="55"/>
      <c r="X154" s="116"/>
      <c r="Y154" s="121"/>
      <c r="Z154" s="122"/>
      <c r="AA154" s="122"/>
      <c r="AB154" s="116"/>
      <c r="AC154" s="121"/>
      <c r="AD154" s="122"/>
      <c r="AE154" s="122"/>
      <c r="AF154" s="116"/>
      <c r="AG154" s="123"/>
    </row>
    <row r="155" spans="1:33" s="15" customFormat="1" ht="25.5" customHeight="1" x14ac:dyDescent="0.3">
      <c r="A155" s="131"/>
      <c r="B155" s="50"/>
      <c r="C155" s="50"/>
      <c r="D155" s="49"/>
      <c r="E155" s="127"/>
      <c r="F155" s="50"/>
      <c r="G155" s="50"/>
      <c r="H155" s="124"/>
      <c r="I155" s="51"/>
      <c r="J155" s="116" t="s">
        <v>61</v>
      </c>
      <c r="K155" s="140"/>
      <c r="L155" s="125"/>
      <c r="M155" s="125"/>
      <c r="N155" s="125"/>
      <c r="O155" s="125"/>
      <c r="P155" s="126" t="str">
        <f>(IFERROR(VLOOKUP(K155,[2]Sampling!$A$2:$D$995,4,FALSE),IFERROR(VLOOKUP(K155,'[2]Other Queries'!$A$2:$E$1000,5,FALSE),IFERROR(VLOOKUP(K155,'[2]Statement Confirmation'!$A$2:$F$1000,6,FALSE),""))))</f>
        <v/>
      </c>
      <c r="Q155" s="117"/>
      <c r="R155" s="51"/>
      <c r="S155" s="52" t="s">
        <v>61</v>
      </c>
      <c r="T155" s="53"/>
      <c r="U155" s="53"/>
      <c r="V155" s="54"/>
      <c r="W155" s="55"/>
      <c r="X155" s="116"/>
      <c r="Y155" s="121"/>
      <c r="Z155" s="122"/>
      <c r="AA155" s="122"/>
      <c r="AB155" s="116"/>
      <c r="AC155" s="121"/>
      <c r="AD155" s="122"/>
      <c r="AE155" s="122"/>
      <c r="AF155" s="116"/>
      <c r="AG155" s="123"/>
    </row>
    <row r="156" spans="1:33" s="15" customFormat="1" ht="25.5" customHeight="1" x14ac:dyDescent="0.3">
      <c r="A156" s="131"/>
      <c r="B156" s="50"/>
      <c r="C156" s="50"/>
      <c r="D156" s="49"/>
      <c r="E156" s="127"/>
      <c r="F156" s="50"/>
      <c r="G156" s="50"/>
      <c r="H156" s="124"/>
      <c r="I156" s="51"/>
      <c r="J156" s="116" t="s">
        <v>61</v>
      </c>
      <c r="K156" s="140"/>
      <c r="L156" s="125"/>
      <c r="M156" s="125"/>
      <c r="N156" s="125"/>
      <c r="O156" s="125"/>
      <c r="P156" s="126" t="str">
        <f>(IFERROR(VLOOKUP(K156,[2]Sampling!$A$2:$D$995,4,FALSE),IFERROR(VLOOKUP(K156,'[2]Other Queries'!$A$2:$E$1000,5,FALSE),IFERROR(VLOOKUP(K156,'[2]Statement Confirmation'!$A$2:$F$1000,6,FALSE),""))))</f>
        <v/>
      </c>
      <c r="Q156" s="117"/>
      <c r="R156" s="51"/>
      <c r="S156" s="52" t="s">
        <v>61</v>
      </c>
      <c r="T156" s="53"/>
      <c r="U156" s="53"/>
      <c r="V156" s="54"/>
      <c r="W156" s="55"/>
      <c r="X156" s="116"/>
      <c r="Y156" s="121"/>
      <c r="Z156" s="122"/>
      <c r="AA156" s="122"/>
      <c r="AB156" s="116"/>
      <c r="AC156" s="121"/>
      <c r="AD156" s="122"/>
      <c r="AE156" s="122"/>
      <c r="AF156" s="116"/>
      <c r="AG156" s="123"/>
    </row>
    <row r="157" spans="1:33" s="15" customFormat="1" ht="25.5" customHeight="1" x14ac:dyDescent="0.3">
      <c r="A157" s="131"/>
      <c r="B157" s="50"/>
      <c r="C157" s="50"/>
      <c r="D157" s="49"/>
      <c r="E157" s="127"/>
      <c r="F157" s="50"/>
      <c r="G157" s="50"/>
      <c r="H157" s="124"/>
      <c r="I157" s="51"/>
      <c r="J157" s="116" t="s">
        <v>61</v>
      </c>
      <c r="K157" s="140"/>
      <c r="L157" s="125"/>
      <c r="M157" s="125"/>
      <c r="N157" s="125"/>
      <c r="O157" s="125"/>
      <c r="P157" s="126" t="str">
        <f>(IFERROR(VLOOKUP(K157,[2]Sampling!$A$2:$D$995,4,FALSE),IFERROR(VLOOKUP(K157,'[2]Other Queries'!$A$2:$E$1000,5,FALSE),IFERROR(VLOOKUP(K157,'[2]Statement Confirmation'!$A$2:$F$1000,6,FALSE),""))))</f>
        <v/>
      </c>
      <c r="Q157" s="117"/>
      <c r="R157" s="51"/>
      <c r="S157" s="52" t="s">
        <v>61</v>
      </c>
      <c r="T157" s="53"/>
      <c r="U157" s="53"/>
      <c r="V157" s="54"/>
      <c r="W157" s="55"/>
      <c r="X157" s="116"/>
      <c r="Y157" s="121"/>
      <c r="Z157" s="122"/>
      <c r="AA157" s="122"/>
      <c r="AB157" s="116"/>
      <c r="AC157" s="121"/>
      <c r="AD157" s="122"/>
      <c r="AE157" s="122"/>
      <c r="AF157" s="116"/>
      <c r="AG157" s="123"/>
    </row>
    <row r="158" spans="1:33" s="15" customFormat="1" ht="25.5" customHeight="1" x14ac:dyDescent="0.3">
      <c r="A158" s="131"/>
      <c r="B158" s="50"/>
      <c r="C158" s="50"/>
      <c r="D158" s="49"/>
      <c r="E158" s="127"/>
      <c r="F158" s="50"/>
      <c r="G158" s="50"/>
      <c r="H158" s="124"/>
      <c r="I158" s="51"/>
      <c r="J158" s="116" t="s">
        <v>61</v>
      </c>
      <c r="K158" s="140"/>
      <c r="L158" s="125"/>
      <c r="M158" s="125"/>
      <c r="N158" s="125"/>
      <c r="O158" s="125"/>
      <c r="P158" s="126" t="str">
        <f>(IFERROR(VLOOKUP(K158,[2]Sampling!$A$2:$D$995,4,FALSE),IFERROR(VLOOKUP(K158,'[2]Other Queries'!$A$2:$E$1000,5,FALSE),IFERROR(VLOOKUP(K158,'[2]Statement Confirmation'!$A$2:$F$1000,6,FALSE),""))))</f>
        <v/>
      </c>
      <c r="Q158" s="117"/>
      <c r="R158" s="51"/>
      <c r="S158" s="52" t="s">
        <v>61</v>
      </c>
      <c r="T158" s="53"/>
      <c r="U158" s="53"/>
      <c r="V158" s="54"/>
      <c r="W158" s="55"/>
      <c r="X158" s="116"/>
      <c r="Y158" s="121"/>
      <c r="Z158" s="122"/>
      <c r="AA158" s="122"/>
      <c r="AB158" s="116"/>
      <c r="AC158" s="121"/>
      <c r="AD158" s="122"/>
      <c r="AE158" s="122"/>
      <c r="AF158" s="116"/>
      <c r="AG158" s="123"/>
    </row>
    <row r="159" spans="1:33" s="15" customFormat="1" ht="25.5" customHeight="1" x14ac:dyDescent="0.3">
      <c r="A159" s="131"/>
      <c r="B159" s="50"/>
      <c r="C159" s="50"/>
      <c r="D159" s="49"/>
      <c r="E159" s="127"/>
      <c r="F159" s="50"/>
      <c r="G159" s="50"/>
      <c r="H159" s="124"/>
      <c r="I159" s="51"/>
      <c r="J159" s="116" t="s">
        <v>61</v>
      </c>
      <c r="K159" s="140"/>
      <c r="L159" s="125"/>
      <c r="M159" s="125"/>
      <c r="N159" s="125"/>
      <c r="O159" s="125"/>
      <c r="P159" s="126" t="str">
        <f>(IFERROR(VLOOKUP(K159,[2]Sampling!$A$2:$D$995,4,FALSE),IFERROR(VLOOKUP(K159,'[2]Other Queries'!$A$2:$E$1000,5,FALSE),IFERROR(VLOOKUP(K159,'[2]Statement Confirmation'!$A$2:$F$1000,6,FALSE),""))))</f>
        <v/>
      </c>
      <c r="Q159" s="117"/>
      <c r="R159" s="51"/>
      <c r="S159" s="52" t="s">
        <v>61</v>
      </c>
      <c r="T159" s="53"/>
      <c r="U159" s="53"/>
      <c r="V159" s="54"/>
      <c r="W159" s="55"/>
      <c r="X159" s="116"/>
      <c r="Y159" s="121"/>
      <c r="Z159" s="122"/>
      <c r="AA159" s="122"/>
      <c r="AB159" s="116"/>
      <c r="AC159" s="121"/>
      <c r="AD159" s="122"/>
      <c r="AE159" s="122"/>
      <c r="AF159" s="116"/>
      <c r="AG159" s="123"/>
    </row>
    <row r="160" spans="1:33" s="15" customFormat="1" ht="25.5" customHeight="1" x14ac:dyDescent="0.3">
      <c r="A160" s="131"/>
      <c r="B160" s="50"/>
      <c r="C160" s="50"/>
      <c r="D160" s="49"/>
      <c r="E160" s="127"/>
      <c r="F160" s="50"/>
      <c r="G160" s="50"/>
      <c r="H160" s="124"/>
      <c r="I160" s="51"/>
      <c r="J160" s="116" t="s">
        <v>61</v>
      </c>
      <c r="K160" s="140"/>
      <c r="L160" s="125"/>
      <c r="M160" s="125"/>
      <c r="N160" s="125"/>
      <c r="O160" s="125"/>
      <c r="P160" s="126" t="str">
        <f>(IFERROR(VLOOKUP(K160,[2]Sampling!$A$2:$D$995,4,FALSE),IFERROR(VLOOKUP(K160,'[2]Other Queries'!$A$2:$E$1000,5,FALSE),IFERROR(VLOOKUP(K160,'[2]Statement Confirmation'!$A$2:$F$1000,6,FALSE),""))))</f>
        <v/>
      </c>
      <c r="Q160" s="117"/>
      <c r="R160" s="51"/>
      <c r="S160" s="52" t="s">
        <v>61</v>
      </c>
      <c r="T160" s="53"/>
      <c r="U160" s="53"/>
      <c r="V160" s="54"/>
      <c r="W160" s="55"/>
      <c r="X160" s="116"/>
      <c r="Y160" s="121"/>
      <c r="Z160" s="122"/>
      <c r="AA160" s="122"/>
      <c r="AB160" s="116"/>
      <c r="AC160" s="121"/>
      <c r="AD160" s="122"/>
      <c r="AE160" s="122"/>
      <c r="AF160" s="116"/>
      <c r="AG160" s="123"/>
    </row>
    <row r="161" spans="1:33" s="15" customFormat="1" ht="25.5" customHeight="1" x14ac:dyDescent="0.3">
      <c r="A161" s="131"/>
      <c r="B161" s="50"/>
      <c r="C161" s="50"/>
      <c r="D161" s="49"/>
      <c r="E161" s="127"/>
      <c r="F161" s="50"/>
      <c r="G161" s="50"/>
      <c r="H161" s="124"/>
      <c r="I161" s="51"/>
      <c r="J161" s="116" t="s">
        <v>61</v>
      </c>
      <c r="K161" s="140"/>
      <c r="L161" s="125"/>
      <c r="M161" s="125"/>
      <c r="N161" s="125"/>
      <c r="O161" s="125"/>
      <c r="P161" s="126" t="str">
        <f>(IFERROR(VLOOKUP(K161,[2]Sampling!$A$2:$D$995,4,FALSE),IFERROR(VLOOKUP(K161,'[2]Other Queries'!$A$2:$E$1000,5,FALSE),IFERROR(VLOOKUP(K161,'[2]Statement Confirmation'!$A$2:$F$1000,6,FALSE),""))))</f>
        <v/>
      </c>
      <c r="Q161" s="117"/>
      <c r="R161" s="51"/>
      <c r="S161" s="52" t="s">
        <v>61</v>
      </c>
      <c r="T161" s="53"/>
      <c r="U161" s="53"/>
      <c r="V161" s="54"/>
      <c r="W161" s="55"/>
      <c r="X161" s="116"/>
      <c r="Y161" s="121"/>
      <c r="Z161" s="122"/>
      <c r="AA161" s="122"/>
      <c r="AB161" s="116"/>
      <c r="AC161" s="121"/>
      <c r="AD161" s="122"/>
      <c r="AE161" s="122"/>
      <c r="AF161" s="116"/>
      <c r="AG161" s="123"/>
    </row>
    <row r="162" spans="1:33" s="15" customFormat="1" ht="25.5" customHeight="1" x14ac:dyDescent="0.3">
      <c r="A162" s="131"/>
      <c r="B162" s="50"/>
      <c r="C162" s="50"/>
      <c r="D162" s="49"/>
      <c r="E162" s="127"/>
      <c r="F162" s="50"/>
      <c r="G162" s="50"/>
      <c r="H162" s="124"/>
      <c r="I162" s="51"/>
      <c r="J162" s="116" t="s">
        <v>61</v>
      </c>
      <c r="K162" s="140"/>
      <c r="L162" s="125"/>
      <c r="M162" s="125"/>
      <c r="N162" s="125"/>
      <c r="O162" s="125"/>
      <c r="P162" s="126" t="str">
        <f>(IFERROR(VLOOKUP(K162,[2]Sampling!$A$2:$D$995,4,FALSE),IFERROR(VLOOKUP(K162,'[2]Other Queries'!$A$2:$E$1000,5,FALSE),IFERROR(VLOOKUP(K162,'[2]Statement Confirmation'!$A$2:$F$1000,6,FALSE),""))))</f>
        <v/>
      </c>
      <c r="Q162" s="117"/>
      <c r="R162" s="51"/>
      <c r="S162" s="52" t="s">
        <v>61</v>
      </c>
      <c r="T162" s="53"/>
      <c r="U162" s="53"/>
      <c r="V162" s="54"/>
      <c r="W162" s="55"/>
      <c r="X162" s="116"/>
      <c r="Y162" s="121"/>
      <c r="Z162" s="122"/>
      <c r="AA162" s="122"/>
      <c r="AB162" s="116"/>
      <c r="AC162" s="121"/>
      <c r="AD162" s="122"/>
      <c r="AE162" s="122"/>
      <c r="AF162" s="116"/>
      <c r="AG162" s="123"/>
    </row>
    <row r="163" spans="1:33" s="15" customFormat="1" ht="25.5" customHeight="1" x14ac:dyDescent="0.3">
      <c r="A163" s="131"/>
      <c r="B163" s="50"/>
      <c r="C163" s="50"/>
      <c r="D163" s="49"/>
      <c r="E163" s="127"/>
      <c r="F163" s="50"/>
      <c r="G163" s="50"/>
      <c r="H163" s="124"/>
      <c r="I163" s="51"/>
      <c r="J163" s="116" t="s">
        <v>61</v>
      </c>
      <c r="K163" s="140"/>
      <c r="L163" s="125"/>
      <c r="M163" s="125"/>
      <c r="N163" s="125"/>
      <c r="O163" s="125"/>
      <c r="P163" s="126" t="str">
        <f>(IFERROR(VLOOKUP(K163,[2]Sampling!$A$2:$D$995,4,FALSE),IFERROR(VLOOKUP(K163,'[2]Other Queries'!$A$2:$E$1000,5,FALSE),IFERROR(VLOOKUP(K163,'[2]Statement Confirmation'!$A$2:$F$1000,6,FALSE),""))))</f>
        <v/>
      </c>
      <c r="Q163" s="117"/>
      <c r="R163" s="51"/>
      <c r="S163" s="52" t="s">
        <v>61</v>
      </c>
      <c r="T163" s="53"/>
      <c r="U163" s="53"/>
      <c r="V163" s="54"/>
      <c r="W163" s="55"/>
      <c r="X163" s="116"/>
      <c r="Y163" s="121"/>
      <c r="Z163" s="122"/>
      <c r="AA163" s="122"/>
      <c r="AB163" s="116"/>
      <c r="AC163" s="121"/>
      <c r="AD163" s="122"/>
      <c r="AE163" s="122"/>
      <c r="AF163" s="116"/>
      <c r="AG163" s="123"/>
    </row>
    <row r="164" spans="1:33" s="15" customFormat="1" ht="25.5" customHeight="1" x14ac:dyDescent="0.3">
      <c r="A164" s="131"/>
      <c r="B164" s="50"/>
      <c r="C164" s="50"/>
      <c r="D164" s="49"/>
      <c r="E164" s="127"/>
      <c r="F164" s="50"/>
      <c r="G164" s="50"/>
      <c r="H164" s="124"/>
      <c r="I164" s="51"/>
      <c r="J164" s="116" t="s">
        <v>61</v>
      </c>
      <c r="K164" s="140"/>
      <c r="L164" s="125"/>
      <c r="M164" s="125"/>
      <c r="N164" s="125"/>
      <c r="O164" s="125"/>
      <c r="P164" s="126" t="str">
        <f>(IFERROR(VLOOKUP(K164,[2]Sampling!$A$2:$D$995,4,FALSE),IFERROR(VLOOKUP(K164,'[2]Other Queries'!$A$2:$E$1000,5,FALSE),IFERROR(VLOOKUP(K164,'[2]Statement Confirmation'!$A$2:$F$1000,6,FALSE),""))))</f>
        <v/>
      </c>
      <c r="Q164" s="117"/>
      <c r="R164" s="51"/>
      <c r="S164" s="52" t="s">
        <v>61</v>
      </c>
      <c r="T164" s="53"/>
      <c r="U164" s="53"/>
      <c r="V164" s="54"/>
      <c r="W164" s="55"/>
      <c r="X164" s="116"/>
      <c r="Y164" s="121"/>
      <c r="Z164" s="122"/>
      <c r="AA164" s="122"/>
      <c r="AB164" s="116"/>
      <c r="AC164" s="121"/>
      <c r="AD164" s="122"/>
      <c r="AE164" s="122"/>
      <c r="AF164" s="116"/>
      <c r="AG164" s="123"/>
    </row>
    <row r="165" spans="1:33" s="15" customFormat="1" ht="25.5" customHeight="1" x14ac:dyDescent="0.3">
      <c r="A165" s="131"/>
      <c r="B165" s="50"/>
      <c r="C165" s="50"/>
      <c r="D165" s="49"/>
      <c r="E165" s="127"/>
      <c r="F165" s="50"/>
      <c r="G165" s="50"/>
      <c r="H165" s="124"/>
      <c r="I165" s="51"/>
      <c r="J165" s="116" t="s">
        <v>61</v>
      </c>
      <c r="K165" s="140"/>
      <c r="L165" s="125"/>
      <c r="M165" s="125"/>
      <c r="N165" s="125"/>
      <c r="O165" s="125"/>
      <c r="P165" s="126" t="str">
        <f>(IFERROR(VLOOKUP(K165,[2]Sampling!$A$2:$D$995,4,FALSE),IFERROR(VLOOKUP(K165,'[2]Other Queries'!$A$2:$E$1000,5,FALSE),IFERROR(VLOOKUP(K165,'[2]Statement Confirmation'!$A$2:$F$1000,6,FALSE),""))))</f>
        <v/>
      </c>
      <c r="Q165" s="117"/>
      <c r="R165" s="51"/>
      <c r="S165" s="52" t="s">
        <v>61</v>
      </c>
      <c r="T165" s="53"/>
      <c r="U165" s="53"/>
      <c r="V165" s="54"/>
      <c r="W165" s="55"/>
      <c r="X165" s="116"/>
      <c r="Y165" s="121"/>
      <c r="Z165" s="122"/>
      <c r="AA165" s="122"/>
      <c r="AB165" s="116"/>
      <c r="AC165" s="121"/>
      <c r="AD165" s="122"/>
      <c r="AE165" s="122"/>
      <c r="AF165" s="116"/>
      <c r="AG165" s="123"/>
    </row>
    <row r="166" spans="1:33" s="15" customFormat="1" ht="25.5" customHeight="1" x14ac:dyDescent="0.3">
      <c r="A166" s="131"/>
      <c r="B166" s="50"/>
      <c r="C166" s="50"/>
      <c r="D166" s="49"/>
      <c r="E166" s="127"/>
      <c r="F166" s="50"/>
      <c r="G166" s="50"/>
      <c r="H166" s="124"/>
      <c r="I166" s="51"/>
      <c r="J166" s="116" t="s">
        <v>61</v>
      </c>
      <c r="K166" s="140"/>
      <c r="L166" s="125"/>
      <c r="M166" s="125"/>
      <c r="N166" s="125"/>
      <c r="O166" s="125"/>
      <c r="P166" s="126" t="str">
        <f>(IFERROR(VLOOKUP(K166,[2]Sampling!$A$2:$D$995,4,FALSE),IFERROR(VLOOKUP(K166,'[2]Other Queries'!$A$2:$E$1000,5,FALSE),IFERROR(VLOOKUP(K166,'[2]Statement Confirmation'!$A$2:$F$1000,6,FALSE),""))))</f>
        <v/>
      </c>
      <c r="Q166" s="117"/>
      <c r="R166" s="51"/>
      <c r="S166" s="52" t="s">
        <v>61</v>
      </c>
      <c r="T166" s="53"/>
      <c r="U166" s="53"/>
      <c r="V166" s="54"/>
      <c r="W166" s="55"/>
      <c r="X166" s="116"/>
      <c r="Y166" s="121"/>
      <c r="Z166" s="122"/>
      <c r="AA166" s="122"/>
      <c r="AB166" s="116"/>
      <c r="AC166" s="121"/>
      <c r="AD166" s="122"/>
      <c r="AE166" s="122"/>
      <c r="AF166" s="116"/>
      <c r="AG166" s="123"/>
    </row>
    <row r="167" spans="1:33" s="15" customFormat="1" ht="25.5" customHeight="1" x14ac:dyDescent="0.3">
      <c r="A167" s="131"/>
      <c r="B167" s="50"/>
      <c r="C167" s="50"/>
      <c r="D167" s="49"/>
      <c r="E167" s="127"/>
      <c r="F167" s="50"/>
      <c r="G167" s="50"/>
      <c r="H167" s="124"/>
      <c r="I167" s="51"/>
      <c r="J167" s="116" t="s">
        <v>61</v>
      </c>
      <c r="K167" s="140"/>
      <c r="L167" s="125"/>
      <c r="M167" s="125"/>
      <c r="N167" s="125"/>
      <c r="O167" s="125"/>
      <c r="P167" s="126" t="str">
        <f>(IFERROR(VLOOKUP(K167,[2]Sampling!$A$2:$D$995,4,FALSE),IFERROR(VLOOKUP(K167,'[2]Other Queries'!$A$2:$E$1000,5,FALSE),IFERROR(VLOOKUP(K167,'[2]Statement Confirmation'!$A$2:$F$1000,6,FALSE),""))))</f>
        <v/>
      </c>
      <c r="Q167" s="117"/>
      <c r="R167" s="51"/>
      <c r="S167" s="52" t="s">
        <v>61</v>
      </c>
      <c r="T167" s="53"/>
      <c r="U167" s="53"/>
      <c r="V167" s="54"/>
      <c r="W167" s="55"/>
      <c r="X167" s="116"/>
      <c r="Y167" s="121"/>
      <c r="Z167" s="122"/>
      <c r="AA167" s="122"/>
      <c r="AB167" s="116"/>
      <c r="AC167" s="121"/>
      <c r="AD167" s="122"/>
      <c r="AE167" s="122"/>
      <c r="AF167" s="116"/>
      <c r="AG167" s="123"/>
    </row>
    <row r="168" spans="1:33" s="15" customFormat="1" ht="25.5" customHeight="1" x14ac:dyDescent="0.3">
      <c r="A168" s="131"/>
      <c r="B168" s="50"/>
      <c r="C168" s="50"/>
      <c r="D168" s="49"/>
      <c r="E168" s="127"/>
      <c r="F168" s="50"/>
      <c r="G168" s="50"/>
      <c r="H168" s="124"/>
      <c r="I168" s="51"/>
      <c r="J168" s="116" t="s">
        <v>61</v>
      </c>
      <c r="K168" s="140"/>
      <c r="L168" s="125"/>
      <c r="M168" s="125"/>
      <c r="N168" s="125"/>
      <c r="O168" s="125"/>
      <c r="P168" s="126" t="str">
        <f>(IFERROR(VLOOKUP(K168,[2]Sampling!$A$2:$D$995,4,FALSE),IFERROR(VLOOKUP(K168,'[2]Other Queries'!$A$2:$E$1000,5,FALSE),IFERROR(VLOOKUP(K168,'[2]Statement Confirmation'!$A$2:$F$1000,6,FALSE),""))))</f>
        <v/>
      </c>
      <c r="Q168" s="117"/>
      <c r="R168" s="51"/>
      <c r="S168" s="52" t="s">
        <v>61</v>
      </c>
      <c r="T168" s="53"/>
      <c r="U168" s="53"/>
      <c r="V168" s="54"/>
      <c r="W168" s="55"/>
      <c r="X168" s="116"/>
      <c r="Y168" s="121"/>
      <c r="Z168" s="122"/>
      <c r="AA168" s="122"/>
      <c r="AB168" s="116"/>
      <c r="AC168" s="121"/>
      <c r="AD168" s="122"/>
      <c r="AE168" s="122"/>
      <c r="AF168" s="116"/>
      <c r="AG168" s="123"/>
    </row>
    <row r="169" spans="1:33" s="15" customFormat="1" ht="25.5" customHeight="1" x14ac:dyDescent="0.3">
      <c r="A169" s="131"/>
      <c r="B169" s="50"/>
      <c r="C169" s="50"/>
      <c r="D169" s="49"/>
      <c r="E169" s="127"/>
      <c r="F169" s="50"/>
      <c r="G169" s="50"/>
      <c r="H169" s="124"/>
      <c r="I169" s="51"/>
      <c r="J169" s="116" t="s">
        <v>61</v>
      </c>
      <c r="K169" s="140"/>
      <c r="L169" s="125"/>
      <c r="M169" s="125"/>
      <c r="N169" s="125"/>
      <c r="O169" s="125"/>
      <c r="P169" s="126" t="str">
        <f>(IFERROR(VLOOKUP(K169,[2]Sampling!$A$2:$D$995,4,FALSE),IFERROR(VLOOKUP(K169,'[2]Other Queries'!$A$2:$E$1000,5,FALSE),IFERROR(VLOOKUP(K169,'[2]Statement Confirmation'!$A$2:$F$1000,6,FALSE),""))))</f>
        <v/>
      </c>
      <c r="Q169" s="117"/>
      <c r="R169" s="51"/>
      <c r="S169" s="52" t="s">
        <v>61</v>
      </c>
      <c r="T169" s="53"/>
      <c r="U169" s="53"/>
      <c r="V169" s="54"/>
      <c r="W169" s="55"/>
      <c r="X169" s="116"/>
      <c r="Y169" s="121"/>
      <c r="Z169" s="122"/>
      <c r="AA169" s="122"/>
      <c r="AB169" s="116"/>
      <c r="AC169" s="121"/>
      <c r="AD169" s="122"/>
      <c r="AE169" s="122"/>
      <c r="AF169" s="116"/>
      <c r="AG169" s="123"/>
    </row>
    <row r="170" spans="1:33" s="15" customFormat="1" ht="25.5" customHeight="1" x14ac:dyDescent="0.3">
      <c r="A170" s="131"/>
      <c r="B170" s="50"/>
      <c r="C170" s="50"/>
      <c r="D170" s="49"/>
      <c r="E170" s="127"/>
      <c r="F170" s="50"/>
      <c r="G170" s="50"/>
      <c r="H170" s="124"/>
      <c r="I170" s="51"/>
      <c r="J170" s="116" t="s">
        <v>61</v>
      </c>
      <c r="K170" s="140"/>
      <c r="L170" s="125"/>
      <c r="M170" s="125"/>
      <c r="N170" s="125"/>
      <c r="O170" s="125"/>
      <c r="P170" s="126" t="str">
        <f>(IFERROR(VLOOKUP(K170,[2]Sampling!$A$2:$D$995,4,FALSE),IFERROR(VLOOKUP(K170,'[2]Other Queries'!$A$2:$E$1000,5,FALSE),IFERROR(VLOOKUP(K170,'[2]Statement Confirmation'!$A$2:$F$1000,6,FALSE),""))))</f>
        <v/>
      </c>
      <c r="Q170" s="117"/>
      <c r="R170" s="51"/>
      <c r="S170" s="52" t="s">
        <v>61</v>
      </c>
      <c r="T170" s="53"/>
      <c r="U170" s="53"/>
      <c r="V170" s="54"/>
      <c r="W170" s="55"/>
      <c r="X170" s="116"/>
      <c r="Y170" s="121"/>
      <c r="Z170" s="122"/>
      <c r="AA170" s="122"/>
      <c r="AB170" s="116"/>
      <c r="AC170" s="121"/>
      <c r="AD170" s="122"/>
      <c r="AE170" s="122"/>
      <c r="AF170" s="116"/>
      <c r="AG170" s="123"/>
    </row>
    <row r="171" spans="1:33" s="15" customFormat="1" ht="25.5" customHeight="1" x14ac:dyDescent="0.3">
      <c r="A171" s="131"/>
      <c r="B171" s="50"/>
      <c r="C171" s="50"/>
      <c r="D171" s="49"/>
      <c r="E171" s="127"/>
      <c r="F171" s="50"/>
      <c r="G171" s="50"/>
      <c r="H171" s="124"/>
      <c r="I171" s="51"/>
      <c r="J171" s="116" t="s">
        <v>61</v>
      </c>
      <c r="K171" s="140"/>
      <c r="L171" s="125"/>
      <c r="M171" s="125"/>
      <c r="N171" s="125"/>
      <c r="O171" s="125"/>
      <c r="P171" s="126" t="str">
        <f>(IFERROR(VLOOKUP(K171,[2]Sampling!$A$2:$D$995,4,FALSE),IFERROR(VLOOKUP(K171,'[2]Other Queries'!$A$2:$E$1000,5,FALSE),IFERROR(VLOOKUP(K171,'[2]Statement Confirmation'!$A$2:$F$1000,6,FALSE),""))))</f>
        <v/>
      </c>
      <c r="Q171" s="117"/>
      <c r="R171" s="51"/>
      <c r="S171" s="52" t="s">
        <v>61</v>
      </c>
      <c r="T171" s="53"/>
      <c r="U171" s="53"/>
      <c r="V171" s="54"/>
      <c r="W171" s="55"/>
      <c r="X171" s="116"/>
      <c r="Y171" s="121"/>
      <c r="Z171" s="122"/>
      <c r="AA171" s="122"/>
      <c r="AB171" s="116"/>
      <c r="AC171" s="121"/>
      <c r="AD171" s="122"/>
      <c r="AE171" s="122"/>
      <c r="AF171" s="116"/>
      <c r="AG171" s="123"/>
    </row>
    <row r="172" spans="1:33" s="15" customFormat="1" ht="25.5" customHeight="1" x14ac:dyDescent="0.3">
      <c r="A172" s="131"/>
      <c r="B172" s="50"/>
      <c r="C172" s="50"/>
      <c r="D172" s="49"/>
      <c r="E172" s="127"/>
      <c r="F172" s="50"/>
      <c r="G172" s="50"/>
      <c r="H172" s="124"/>
      <c r="I172" s="51"/>
      <c r="J172" s="116" t="s">
        <v>61</v>
      </c>
      <c r="K172" s="140"/>
      <c r="L172" s="125"/>
      <c r="M172" s="125"/>
      <c r="N172" s="125"/>
      <c r="O172" s="125"/>
      <c r="P172" s="126" t="str">
        <f>(IFERROR(VLOOKUP(K172,[2]Sampling!$A$2:$D$995,4,FALSE),IFERROR(VLOOKUP(K172,'[2]Other Queries'!$A$2:$E$1000,5,FALSE),IFERROR(VLOOKUP(K172,'[2]Statement Confirmation'!$A$2:$F$1000,6,FALSE),""))))</f>
        <v/>
      </c>
      <c r="Q172" s="117"/>
      <c r="R172" s="51"/>
      <c r="S172" s="52" t="s">
        <v>61</v>
      </c>
      <c r="T172" s="53"/>
      <c r="U172" s="53"/>
      <c r="V172" s="54"/>
      <c r="W172" s="55"/>
      <c r="X172" s="116"/>
      <c r="Y172" s="121"/>
      <c r="Z172" s="122"/>
      <c r="AA172" s="122"/>
      <c r="AB172" s="116"/>
      <c r="AC172" s="121"/>
      <c r="AD172" s="122"/>
      <c r="AE172" s="122"/>
      <c r="AF172" s="116"/>
      <c r="AG172" s="123"/>
    </row>
    <row r="173" spans="1:33" s="15" customFormat="1" ht="25.5" customHeight="1" x14ac:dyDescent="0.3">
      <c r="A173" s="131"/>
      <c r="B173" s="50"/>
      <c r="C173" s="50"/>
      <c r="D173" s="49"/>
      <c r="E173" s="127"/>
      <c r="F173" s="50"/>
      <c r="G173" s="50"/>
      <c r="H173" s="124"/>
      <c r="I173" s="51"/>
      <c r="J173" s="116" t="s">
        <v>61</v>
      </c>
      <c r="K173" s="140"/>
      <c r="L173" s="125"/>
      <c r="M173" s="125"/>
      <c r="N173" s="125"/>
      <c r="O173" s="125"/>
      <c r="P173" s="126" t="str">
        <f>(IFERROR(VLOOKUP(K173,[2]Sampling!$A$2:$D$995,4,FALSE),IFERROR(VLOOKUP(K173,'[2]Other Queries'!$A$2:$E$1000,5,FALSE),IFERROR(VLOOKUP(K173,'[2]Statement Confirmation'!$A$2:$F$1000,6,FALSE),""))))</f>
        <v/>
      </c>
      <c r="Q173" s="117"/>
      <c r="R173" s="51"/>
      <c r="S173" s="52" t="s">
        <v>61</v>
      </c>
      <c r="T173" s="53"/>
      <c r="U173" s="53"/>
      <c r="V173" s="54"/>
      <c r="W173" s="55"/>
      <c r="X173" s="116"/>
      <c r="Y173" s="121"/>
      <c r="Z173" s="122"/>
      <c r="AA173" s="122"/>
      <c r="AB173" s="116"/>
      <c r="AC173" s="121"/>
      <c r="AD173" s="122"/>
      <c r="AE173" s="122"/>
      <c r="AF173" s="116"/>
      <c r="AG173" s="123"/>
    </row>
    <row r="174" spans="1:33" s="15" customFormat="1" ht="25.5" customHeight="1" x14ac:dyDescent="0.3">
      <c r="A174" s="131"/>
      <c r="B174" s="50"/>
      <c r="C174" s="50"/>
      <c r="D174" s="49"/>
      <c r="E174" s="127"/>
      <c r="F174" s="50"/>
      <c r="G174" s="50"/>
      <c r="H174" s="124"/>
      <c r="I174" s="51"/>
      <c r="J174" s="116" t="s">
        <v>61</v>
      </c>
      <c r="K174" s="140"/>
      <c r="L174" s="125"/>
      <c r="M174" s="125"/>
      <c r="N174" s="125"/>
      <c r="O174" s="125"/>
      <c r="P174" s="126" t="str">
        <f>(IFERROR(VLOOKUP(K174,[2]Sampling!$A$2:$D$995,4,FALSE),IFERROR(VLOOKUP(K174,'[2]Other Queries'!$A$2:$E$1000,5,FALSE),IFERROR(VLOOKUP(K174,'[2]Statement Confirmation'!$A$2:$F$1000,6,FALSE),""))))</f>
        <v/>
      </c>
      <c r="Q174" s="117"/>
      <c r="R174" s="51"/>
      <c r="S174" s="52" t="s">
        <v>61</v>
      </c>
      <c r="T174" s="53"/>
      <c r="U174" s="53"/>
      <c r="V174" s="54"/>
      <c r="W174" s="55"/>
      <c r="X174" s="116"/>
      <c r="Y174" s="121"/>
      <c r="Z174" s="122"/>
      <c r="AA174" s="122"/>
      <c r="AB174" s="116"/>
      <c r="AC174" s="121"/>
      <c r="AD174" s="122"/>
      <c r="AE174" s="122"/>
      <c r="AF174" s="116"/>
      <c r="AG174" s="123"/>
    </row>
    <row r="175" spans="1:33" s="15" customFormat="1" ht="25.5" customHeight="1" x14ac:dyDescent="0.3">
      <c r="A175" s="131"/>
      <c r="B175" s="50"/>
      <c r="C175" s="50"/>
      <c r="D175" s="49"/>
      <c r="E175" s="127"/>
      <c r="F175" s="50"/>
      <c r="G175" s="50"/>
      <c r="H175" s="124"/>
      <c r="I175" s="51"/>
      <c r="J175" s="116" t="s">
        <v>61</v>
      </c>
      <c r="K175" s="140"/>
      <c r="L175" s="125"/>
      <c r="M175" s="125"/>
      <c r="N175" s="125"/>
      <c r="O175" s="125"/>
      <c r="P175" s="126" t="str">
        <f>(IFERROR(VLOOKUP(K175,[2]Sampling!$A$2:$D$995,4,FALSE),IFERROR(VLOOKUP(K175,'[2]Other Queries'!$A$2:$E$1000,5,FALSE),IFERROR(VLOOKUP(K175,'[2]Statement Confirmation'!$A$2:$F$1000,6,FALSE),""))))</f>
        <v/>
      </c>
      <c r="Q175" s="117"/>
      <c r="R175" s="51"/>
      <c r="S175" s="52" t="s">
        <v>61</v>
      </c>
      <c r="T175" s="53"/>
      <c r="U175" s="53"/>
      <c r="V175" s="54"/>
      <c r="W175" s="55"/>
      <c r="X175" s="116"/>
      <c r="Y175" s="121"/>
      <c r="Z175" s="122"/>
      <c r="AA175" s="122"/>
      <c r="AB175" s="116"/>
      <c r="AC175" s="121"/>
      <c r="AD175" s="122"/>
      <c r="AE175" s="122"/>
      <c r="AF175" s="116"/>
      <c r="AG175" s="123"/>
    </row>
    <row r="176" spans="1:33" s="15" customFormat="1" ht="25.5" customHeight="1" x14ac:dyDescent="0.3">
      <c r="A176" s="131"/>
      <c r="B176" s="50"/>
      <c r="C176" s="50"/>
      <c r="D176" s="49"/>
      <c r="E176" s="127"/>
      <c r="F176" s="50"/>
      <c r="G176" s="50"/>
      <c r="H176" s="124"/>
      <c r="I176" s="51"/>
      <c r="J176" s="116" t="s">
        <v>61</v>
      </c>
      <c r="K176" s="140"/>
      <c r="L176" s="125"/>
      <c r="M176" s="125"/>
      <c r="N176" s="125"/>
      <c r="O176" s="125"/>
      <c r="P176" s="126" t="str">
        <f>(IFERROR(VLOOKUP(K176,[2]Sampling!$A$2:$D$995,4,FALSE),IFERROR(VLOOKUP(K176,'[2]Other Queries'!$A$2:$E$1000,5,FALSE),IFERROR(VLOOKUP(K176,'[2]Statement Confirmation'!$A$2:$F$1000,6,FALSE),""))))</f>
        <v/>
      </c>
      <c r="Q176" s="117"/>
      <c r="R176" s="51"/>
      <c r="S176" s="52" t="s">
        <v>61</v>
      </c>
      <c r="T176" s="53"/>
      <c r="U176" s="53"/>
      <c r="V176" s="54"/>
      <c r="W176" s="55"/>
      <c r="X176" s="116"/>
      <c r="Y176" s="121"/>
      <c r="Z176" s="122"/>
      <c r="AA176" s="122"/>
      <c r="AB176" s="116"/>
      <c r="AC176" s="121"/>
      <c r="AD176" s="122"/>
      <c r="AE176" s="122"/>
      <c r="AF176" s="116"/>
      <c r="AG176" s="123"/>
    </row>
    <row r="177" spans="1:33" s="15" customFormat="1" ht="25.5" customHeight="1" x14ac:dyDescent="0.3">
      <c r="A177" s="131"/>
      <c r="B177" s="50"/>
      <c r="C177" s="50"/>
      <c r="D177" s="49"/>
      <c r="E177" s="127"/>
      <c r="F177" s="50"/>
      <c r="G177" s="50"/>
      <c r="H177" s="124"/>
      <c r="I177" s="51"/>
      <c r="J177" s="116" t="s">
        <v>61</v>
      </c>
      <c r="K177" s="140"/>
      <c r="L177" s="125"/>
      <c r="M177" s="125"/>
      <c r="N177" s="125"/>
      <c r="O177" s="125"/>
      <c r="P177" s="126" t="str">
        <f>(IFERROR(VLOOKUP(K177,[2]Sampling!$A$2:$D$995,4,FALSE),IFERROR(VLOOKUP(K177,'[2]Other Queries'!$A$2:$E$1000,5,FALSE),IFERROR(VLOOKUP(K177,'[2]Statement Confirmation'!$A$2:$F$1000,6,FALSE),""))))</f>
        <v/>
      </c>
      <c r="Q177" s="117"/>
      <c r="R177" s="51"/>
      <c r="S177" s="52" t="s">
        <v>61</v>
      </c>
      <c r="T177" s="53"/>
      <c r="U177" s="53"/>
      <c r="V177" s="54"/>
      <c r="W177" s="55"/>
      <c r="X177" s="116"/>
      <c r="Y177" s="121"/>
      <c r="Z177" s="122"/>
      <c r="AA177" s="122"/>
      <c r="AB177" s="116"/>
      <c r="AC177" s="121"/>
      <c r="AD177" s="122"/>
      <c r="AE177" s="122"/>
      <c r="AF177" s="116"/>
      <c r="AG177" s="123"/>
    </row>
    <row r="178" spans="1:33" s="15" customFormat="1" ht="25.5" customHeight="1" x14ac:dyDescent="0.3">
      <c r="A178" s="131"/>
      <c r="B178" s="50"/>
      <c r="C178" s="50"/>
      <c r="D178" s="49"/>
      <c r="E178" s="127"/>
      <c r="F178" s="50"/>
      <c r="G178" s="50"/>
      <c r="H178" s="124"/>
      <c r="I178" s="51"/>
      <c r="J178" s="116" t="s">
        <v>61</v>
      </c>
      <c r="K178" s="140"/>
      <c r="L178" s="125"/>
      <c r="M178" s="125"/>
      <c r="N178" s="125"/>
      <c r="O178" s="125"/>
      <c r="P178" s="126" t="str">
        <f>(IFERROR(VLOOKUP(K178,[2]Sampling!$A$2:$D$995,4,FALSE),IFERROR(VLOOKUP(K178,'[2]Other Queries'!$A$2:$E$1000,5,FALSE),IFERROR(VLOOKUP(K178,'[2]Statement Confirmation'!$A$2:$F$1000,6,FALSE),""))))</f>
        <v/>
      </c>
      <c r="Q178" s="117"/>
      <c r="R178" s="51"/>
      <c r="S178" s="52" t="s">
        <v>61</v>
      </c>
      <c r="T178" s="53"/>
      <c r="U178" s="53"/>
      <c r="V178" s="54"/>
      <c r="W178" s="55"/>
      <c r="X178" s="116"/>
      <c r="Y178" s="121"/>
      <c r="Z178" s="122"/>
      <c r="AA178" s="122"/>
      <c r="AB178" s="116"/>
      <c r="AC178" s="121"/>
      <c r="AD178" s="122"/>
      <c r="AE178" s="122"/>
      <c r="AF178" s="116"/>
      <c r="AG178" s="123"/>
    </row>
    <row r="179" spans="1:33" s="15" customFormat="1" ht="25.5" customHeight="1" x14ac:dyDescent="0.3">
      <c r="A179" s="131"/>
      <c r="B179" s="50"/>
      <c r="C179" s="50"/>
      <c r="D179" s="49"/>
      <c r="E179" s="127"/>
      <c r="F179" s="50"/>
      <c r="G179" s="50"/>
      <c r="H179" s="124"/>
      <c r="I179" s="51"/>
      <c r="J179" s="116" t="s">
        <v>61</v>
      </c>
      <c r="K179" s="140"/>
      <c r="L179" s="125"/>
      <c r="M179" s="125"/>
      <c r="N179" s="125"/>
      <c r="O179" s="125"/>
      <c r="P179" s="126" t="str">
        <f>(IFERROR(VLOOKUP(K179,[2]Sampling!$A$2:$D$995,4,FALSE),IFERROR(VLOOKUP(K179,'[2]Other Queries'!$A$2:$E$1000,5,FALSE),IFERROR(VLOOKUP(K179,'[2]Statement Confirmation'!$A$2:$F$1000,6,FALSE),""))))</f>
        <v/>
      </c>
      <c r="Q179" s="117"/>
      <c r="R179" s="51"/>
      <c r="S179" s="52" t="s">
        <v>61</v>
      </c>
      <c r="T179" s="53"/>
      <c r="U179" s="53"/>
      <c r="V179" s="54"/>
      <c r="W179" s="55"/>
      <c r="X179" s="116"/>
      <c r="Y179" s="121"/>
      <c r="Z179" s="122"/>
      <c r="AA179" s="122"/>
      <c r="AB179" s="116"/>
      <c r="AC179" s="121"/>
      <c r="AD179" s="122"/>
      <c r="AE179" s="122"/>
      <c r="AF179" s="116"/>
      <c r="AG179" s="123"/>
    </row>
    <row r="180" spans="1:33" s="15" customFormat="1" ht="25.5" customHeight="1" x14ac:dyDescent="0.3">
      <c r="A180" s="131"/>
      <c r="B180" s="50"/>
      <c r="C180" s="50"/>
      <c r="D180" s="49"/>
      <c r="E180" s="127"/>
      <c r="F180" s="50"/>
      <c r="G180" s="50"/>
      <c r="H180" s="124"/>
      <c r="I180" s="51"/>
      <c r="J180" s="116" t="s">
        <v>61</v>
      </c>
      <c r="K180" s="140"/>
      <c r="L180" s="125"/>
      <c r="M180" s="125"/>
      <c r="N180" s="125"/>
      <c r="O180" s="125"/>
      <c r="P180" s="126" t="str">
        <f>(IFERROR(VLOOKUP(K180,[2]Sampling!$A$2:$D$995,4,FALSE),IFERROR(VLOOKUP(K180,'[2]Other Queries'!$A$2:$E$1000,5,FALSE),IFERROR(VLOOKUP(K180,'[2]Statement Confirmation'!$A$2:$F$1000,6,FALSE),""))))</f>
        <v/>
      </c>
      <c r="Q180" s="117"/>
      <c r="R180" s="51"/>
      <c r="S180" s="52" t="s">
        <v>61</v>
      </c>
      <c r="T180" s="53"/>
      <c r="U180" s="53"/>
      <c r="V180" s="54"/>
      <c r="W180" s="55"/>
      <c r="X180" s="116"/>
      <c r="Y180" s="121"/>
      <c r="Z180" s="122"/>
      <c r="AA180" s="122"/>
      <c r="AB180" s="116"/>
      <c r="AC180" s="121"/>
      <c r="AD180" s="122"/>
      <c r="AE180" s="122"/>
      <c r="AF180" s="116"/>
      <c r="AG180" s="123"/>
    </row>
    <row r="181" spans="1:33" s="15" customFormat="1" ht="25.5" customHeight="1" x14ac:dyDescent="0.3">
      <c r="A181" s="131"/>
      <c r="B181" s="50"/>
      <c r="C181" s="50"/>
      <c r="D181" s="49"/>
      <c r="E181" s="127"/>
      <c r="F181" s="50"/>
      <c r="G181" s="50"/>
      <c r="H181" s="124"/>
      <c r="I181" s="51"/>
      <c r="J181" s="116" t="s">
        <v>61</v>
      </c>
      <c r="K181" s="140"/>
      <c r="L181" s="125"/>
      <c r="M181" s="125"/>
      <c r="N181" s="125"/>
      <c r="O181" s="125"/>
      <c r="P181" s="126" t="str">
        <f>(IFERROR(VLOOKUP(K181,[2]Sampling!$A$2:$D$995,4,FALSE),IFERROR(VLOOKUP(K181,'[2]Other Queries'!$A$2:$E$1000,5,FALSE),IFERROR(VLOOKUP(K181,'[2]Statement Confirmation'!$A$2:$F$1000,6,FALSE),""))))</f>
        <v/>
      </c>
      <c r="Q181" s="117"/>
      <c r="R181" s="51"/>
      <c r="S181" s="52" t="s">
        <v>61</v>
      </c>
      <c r="T181" s="53"/>
      <c r="U181" s="53"/>
      <c r="V181" s="54"/>
      <c r="W181" s="55"/>
      <c r="X181" s="116"/>
      <c r="Y181" s="121"/>
      <c r="Z181" s="122"/>
      <c r="AA181" s="122"/>
      <c r="AB181" s="116"/>
      <c r="AC181" s="121"/>
      <c r="AD181" s="122"/>
      <c r="AE181" s="122"/>
      <c r="AF181" s="116"/>
      <c r="AG181" s="123"/>
    </row>
    <row r="182" spans="1:33" s="15" customFormat="1" ht="25.5" customHeight="1" x14ac:dyDescent="0.3">
      <c r="A182" s="131"/>
      <c r="B182" s="50"/>
      <c r="C182" s="50"/>
      <c r="D182" s="49"/>
      <c r="E182" s="127"/>
      <c r="F182" s="50"/>
      <c r="G182" s="50"/>
      <c r="H182" s="124"/>
      <c r="I182" s="51"/>
      <c r="J182" s="116" t="s">
        <v>61</v>
      </c>
      <c r="K182" s="140"/>
      <c r="L182" s="125"/>
      <c r="M182" s="125"/>
      <c r="N182" s="125"/>
      <c r="O182" s="125"/>
      <c r="P182" s="126" t="str">
        <f>(IFERROR(VLOOKUP(K182,[2]Sampling!$A$2:$D$995,4,FALSE),IFERROR(VLOOKUP(K182,'[2]Other Queries'!$A$2:$E$1000,5,FALSE),IFERROR(VLOOKUP(K182,'[2]Statement Confirmation'!$A$2:$F$1000,6,FALSE),""))))</f>
        <v/>
      </c>
      <c r="Q182" s="117"/>
      <c r="R182" s="51"/>
      <c r="S182" s="52" t="s">
        <v>61</v>
      </c>
      <c r="T182" s="53"/>
      <c r="U182" s="53"/>
      <c r="V182" s="54"/>
      <c r="W182" s="55"/>
      <c r="X182" s="116"/>
      <c r="Y182" s="121"/>
      <c r="Z182" s="122"/>
      <c r="AA182" s="122"/>
      <c r="AB182" s="116"/>
      <c r="AC182" s="121"/>
      <c r="AD182" s="122"/>
      <c r="AE182" s="122"/>
      <c r="AF182" s="116"/>
      <c r="AG182" s="123"/>
    </row>
    <row r="183" spans="1:33" s="15" customFormat="1" ht="25.5" customHeight="1" x14ac:dyDescent="0.3">
      <c r="A183" s="131"/>
      <c r="B183" s="50"/>
      <c r="C183" s="50"/>
      <c r="D183" s="49"/>
      <c r="E183" s="127"/>
      <c r="F183" s="50"/>
      <c r="G183" s="50"/>
      <c r="H183" s="124"/>
      <c r="I183" s="51"/>
      <c r="J183" s="116" t="s">
        <v>61</v>
      </c>
      <c r="K183" s="140"/>
      <c r="L183" s="125"/>
      <c r="M183" s="125"/>
      <c r="N183" s="125"/>
      <c r="O183" s="125"/>
      <c r="P183" s="126" t="str">
        <f>(IFERROR(VLOOKUP(K183,[2]Sampling!$A$2:$D$995,4,FALSE),IFERROR(VLOOKUP(K183,'[2]Other Queries'!$A$2:$E$1000,5,FALSE),IFERROR(VLOOKUP(K183,'[2]Statement Confirmation'!$A$2:$F$1000,6,FALSE),""))))</f>
        <v/>
      </c>
      <c r="Q183" s="117"/>
      <c r="R183" s="51"/>
      <c r="S183" s="52" t="s">
        <v>61</v>
      </c>
      <c r="T183" s="53"/>
      <c r="U183" s="53"/>
      <c r="V183" s="54"/>
      <c r="W183" s="55"/>
      <c r="X183" s="116"/>
      <c r="Y183" s="121"/>
      <c r="Z183" s="122"/>
      <c r="AA183" s="122"/>
      <c r="AB183" s="116"/>
      <c r="AC183" s="121"/>
      <c r="AD183" s="122"/>
      <c r="AE183" s="122"/>
      <c r="AF183" s="116"/>
      <c r="AG183" s="123"/>
    </row>
    <row r="184" spans="1:33" s="15" customFormat="1" ht="25.5" customHeight="1" x14ac:dyDescent="0.3">
      <c r="A184" s="131"/>
      <c r="B184" s="50"/>
      <c r="C184" s="50"/>
      <c r="D184" s="49"/>
      <c r="E184" s="127"/>
      <c r="F184" s="50"/>
      <c r="G184" s="50"/>
      <c r="H184" s="124"/>
      <c r="I184" s="51"/>
      <c r="J184" s="116" t="s">
        <v>61</v>
      </c>
      <c r="K184" s="140"/>
      <c r="L184" s="125"/>
      <c r="M184" s="125"/>
      <c r="N184" s="125"/>
      <c r="O184" s="125"/>
      <c r="P184" s="126" t="str">
        <f>(IFERROR(VLOOKUP(K184,[2]Sampling!$A$2:$D$995,4,FALSE),IFERROR(VLOOKUP(K184,'[2]Other Queries'!$A$2:$E$1000,5,FALSE),IFERROR(VLOOKUP(K184,'[2]Statement Confirmation'!$A$2:$F$1000,6,FALSE),""))))</f>
        <v/>
      </c>
      <c r="Q184" s="117"/>
      <c r="R184" s="51"/>
      <c r="S184" s="52" t="s">
        <v>61</v>
      </c>
      <c r="T184" s="53"/>
      <c r="U184" s="53"/>
      <c r="V184" s="54"/>
      <c r="W184" s="55"/>
      <c r="X184" s="116"/>
      <c r="Y184" s="121"/>
      <c r="Z184" s="122"/>
      <c r="AA184" s="122"/>
      <c r="AB184" s="116"/>
      <c r="AC184" s="121"/>
      <c r="AD184" s="122"/>
      <c r="AE184" s="122"/>
      <c r="AF184" s="116"/>
      <c r="AG184" s="123"/>
    </row>
    <row r="185" spans="1:33" s="15" customFormat="1" ht="25.5" customHeight="1" x14ac:dyDescent="0.3">
      <c r="A185" s="131"/>
      <c r="B185" s="50"/>
      <c r="C185" s="50"/>
      <c r="D185" s="49"/>
      <c r="E185" s="127"/>
      <c r="F185" s="50"/>
      <c r="G185" s="50"/>
      <c r="H185" s="124"/>
      <c r="I185" s="51"/>
      <c r="J185" s="116" t="s">
        <v>61</v>
      </c>
      <c r="K185" s="140"/>
      <c r="L185" s="125"/>
      <c r="M185" s="125"/>
      <c r="N185" s="125"/>
      <c r="O185" s="125"/>
      <c r="P185" s="126" t="str">
        <f>(IFERROR(VLOOKUP(K185,[2]Sampling!$A$2:$D$995,4,FALSE),IFERROR(VLOOKUP(K185,'[2]Other Queries'!$A$2:$E$1000,5,FALSE),IFERROR(VLOOKUP(K185,'[2]Statement Confirmation'!$A$2:$F$1000,6,FALSE),""))))</f>
        <v/>
      </c>
      <c r="Q185" s="117"/>
      <c r="R185" s="51"/>
      <c r="S185" s="52" t="s">
        <v>61</v>
      </c>
      <c r="T185" s="53"/>
      <c r="U185" s="53"/>
      <c r="V185" s="54"/>
      <c r="W185" s="55"/>
      <c r="X185" s="116"/>
      <c r="Y185" s="121"/>
      <c r="Z185" s="122"/>
      <c r="AA185" s="122"/>
      <c r="AB185" s="116"/>
      <c r="AC185" s="121"/>
      <c r="AD185" s="122"/>
      <c r="AE185" s="122"/>
      <c r="AF185" s="116"/>
      <c r="AG185" s="123"/>
    </row>
    <row r="186" spans="1:33" s="15" customFormat="1" ht="25.5" customHeight="1" x14ac:dyDescent="0.3">
      <c r="A186" s="131"/>
      <c r="B186" s="50"/>
      <c r="C186" s="50"/>
      <c r="D186" s="49"/>
      <c r="E186" s="127"/>
      <c r="F186" s="50"/>
      <c r="G186" s="50"/>
      <c r="H186" s="124"/>
      <c r="I186" s="51"/>
      <c r="J186" s="116" t="s">
        <v>61</v>
      </c>
      <c r="K186" s="140"/>
      <c r="L186" s="125"/>
      <c r="M186" s="125"/>
      <c r="N186" s="125"/>
      <c r="O186" s="125"/>
      <c r="P186" s="126" t="str">
        <f>(IFERROR(VLOOKUP(K186,[2]Sampling!$A$2:$D$995,4,FALSE),IFERROR(VLOOKUP(K186,'[2]Other Queries'!$A$2:$E$1000,5,FALSE),IFERROR(VLOOKUP(K186,'[2]Statement Confirmation'!$A$2:$F$1000,6,FALSE),""))))</f>
        <v/>
      </c>
      <c r="Q186" s="117"/>
      <c r="R186" s="51"/>
      <c r="S186" s="52" t="s">
        <v>61</v>
      </c>
      <c r="T186" s="53"/>
      <c r="U186" s="53"/>
      <c r="V186" s="54"/>
      <c r="W186" s="55"/>
      <c r="X186" s="116"/>
      <c r="Y186" s="121"/>
      <c r="Z186" s="122"/>
      <c r="AA186" s="122"/>
      <c r="AB186" s="116"/>
      <c r="AC186" s="121"/>
      <c r="AD186" s="122"/>
      <c r="AE186" s="122"/>
      <c r="AF186" s="116"/>
      <c r="AG186" s="123"/>
    </row>
    <row r="187" spans="1:33" s="15" customFormat="1" ht="25.5" customHeight="1" x14ac:dyDescent="0.3">
      <c r="A187" s="131"/>
      <c r="B187" s="50"/>
      <c r="C187" s="50"/>
      <c r="D187" s="49"/>
      <c r="E187" s="127"/>
      <c r="F187" s="50"/>
      <c r="G187" s="50"/>
      <c r="H187" s="124"/>
      <c r="I187" s="51"/>
      <c r="J187" s="116" t="s">
        <v>61</v>
      </c>
      <c r="K187" s="140"/>
      <c r="L187" s="125"/>
      <c r="M187" s="125"/>
      <c r="N187" s="125"/>
      <c r="O187" s="125"/>
      <c r="P187" s="126" t="str">
        <f>(IFERROR(VLOOKUP(K187,[2]Sampling!$A$2:$D$995,4,FALSE),IFERROR(VLOOKUP(K187,'[2]Other Queries'!$A$2:$E$1000,5,FALSE),IFERROR(VLOOKUP(K187,'[2]Statement Confirmation'!$A$2:$F$1000,6,FALSE),""))))</f>
        <v/>
      </c>
      <c r="Q187" s="117"/>
      <c r="R187" s="51"/>
      <c r="S187" s="52" t="s">
        <v>61</v>
      </c>
      <c r="T187" s="53"/>
      <c r="U187" s="53"/>
      <c r="V187" s="54"/>
      <c r="W187" s="55"/>
      <c r="X187" s="116"/>
      <c r="Y187" s="121"/>
      <c r="Z187" s="122"/>
      <c r="AA187" s="122"/>
      <c r="AB187" s="116"/>
      <c r="AC187" s="121"/>
      <c r="AD187" s="122"/>
      <c r="AE187" s="122"/>
      <c r="AF187" s="116"/>
      <c r="AG187" s="123"/>
    </row>
    <row r="188" spans="1:33" s="15" customFormat="1" ht="25.5" customHeight="1" x14ac:dyDescent="0.3">
      <c r="A188" s="131"/>
      <c r="B188" s="50"/>
      <c r="C188" s="50"/>
      <c r="D188" s="49"/>
      <c r="E188" s="127"/>
      <c r="F188" s="50"/>
      <c r="G188" s="50"/>
      <c r="H188" s="124"/>
      <c r="I188" s="51"/>
      <c r="J188" s="116" t="s">
        <v>61</v>
      </c>
      <c r="K188" s="140"/>
      <c r="L188" s="125"/>
      <c r="M188" s="125"/>
      <c r="N188" s="125"/>
      <c r="O188" s="125"/>
      <c r="P188" s="126" t="str">
        <f>(IFERROR(VLOOKUP(K188,[2]Sampling!$A$2:$D$995,4,FALSE),IFERROR(VLOOKUP(K188,'[2]Other Queries'!$A$2:$E$1000,5,FALSE),IFERROR(VLOOKUP(K188,'[2]Statement Confirmation'!$A$2:$F$1000,6,FALSE),""))))</f>
        <v/>
      </c>
      <c r="Q188" s="117"/>
      <c r="R188" s="51"/>
      <c r="S188" s="52" t="s">
        <v>61</v>
      </c>
      <c r="T188" s="53"/>
      <c r="U188" s="53"/>
      <c r="V188" s="54"/>
      <c r="W188" s="55"/>
      <c r="X188" s="116"/>
      <c r="Y188" s="121"/>
      <c r="Z188" s="122"/>
      <c r="AA188" s="122"/>
      <c r="AB188" s="116"/>
      <c r="AC188" s="121"/>
      <c r="AD188" s="122"/>
      <c r="AE188" s="122"/>
      <c r="AF188" s="116"/>
      <c r="AG188" s="123"/>
    </row>
    <row r="189" spans="1:33" s="15" customFormat="1" ht="25.5" customHeight="1" x14ac:dyDescent="0.3">
      <c r="A189" s="131"/>
      <c r="B189" s="50"/>
      <c r="C189" s="50"/>
      <c r="D189" s="49"/>
      <c r="E189" s="127"/>
      <c r="F189" s="50"/>
      <c r="G189" s="50"/>
      <c r="H189" s="124"/>
      <c r="I189" s="51"/>
      <c r="J189" s="116" t="s">
        <v>61</v>
      </c>
      <c r="K189" s="140"/>
      <c r="L189" s="125"/>
      <c r="M189" s="125"/>
      <c r="N189" s="125"/>
      <c r="O189" s="125"/>
      <c r="P189" s="126" t="str">
        <f>(IFERROR(VLOOKUP(K189,[2]Sampling!$A$2:$D$995,4,FALSE),IFERROR(VLOOKUP(K189,'[2]Other Queries'!$A$2:$E$1000,5,FALSE),IFERROR(VLOOKUP(K189,'[2]Statement Confirmation'!$A$2:$F$1000,6,FALSE),""))))</f>
        <v/>
      </c>
      <c r="Q189" s="117"/>
      <c r="R189" s="51"/>
      <c r="S189" s="52" t="s">
        <v>61</v>
      </c>
      <c r="T189" s="53"/>
      <c r="U189" s="53"/>
      <c r="V189" s="54"/>
      <c r="W189" s="55"/>
      <c r="X189" s="116"/>
      <c r="Y189" s="121"/>
      <c r="Z189" s="122"/>
      <c r="AA189" s="122"/>
      <c r="AB189" s="116"/>
      <c r="AC189" s="121"/>
      <c r="AD189" s="122"/>
      <c r="AE189" s="122"/>
      <c r="AF189" s="116"/>
      <c r="AG189" s="123"/>
    </row>
    <row r="190" spans="1:33" s="15" customFormat="1" ht="25.5" customHeight="1" x14ac:dyDescent="0.3">
      <c r="A190" s="131"/>
      <c r="B190" s="50"/>
      <c r="C190" s="50"/>
      <c r="D190" s="49"/>
      <c r="E190" s="127"/>
      <c r="F190" s="50"/>
      <c r="G190" s="50"/>
      <c r="H190" s="124"/>
      <c r="I190" s="51"/>
      <c r="J190" s="116" t="s">
        <v>61</v>
      </c>
      <c r="K190" s="140"/>
      <c r="L190" s="125"/>
      <c r="M190" s="125"/>
      <c r="N190" s="149"/>
      <c r="O190" s="125"/>
      <c r="P190" s="126" t="str">
        <f>(IFERROR(VLOOKUP(K190,[2]Sampling!$A$2:$D$995,4,FALSE),IFERROR(VLOOKUP(K190,'[2]Other Queries'!$A$2:$E$1000,5,FALSE),IFERROR(VLOOKUP(K190,'[2]Statement Confirmation'!$A$2:$F$1000,6,FALSE),""))))</f>
        <v/>
      </c>
      <c r="Q190" s="117"/>
      <c r="R190" s="51"/>
      <c r="S190" s="52" t="s">
        <v>61</v>
      </c>
      <c r="T190" s="53"/>
      <c r="U190" s="53"/>
      <c r="V190" s="54"/>
      <c r="W190" s="55"/>
      <c r="X190" s="116"/>
      <c r="Y190" s="121"/>
      <c r="Z190" s="122"/>
      <c r="AA190" s="122"/>
      <c r="AB190" s="116"/>
      <c r="AC190" s="121"/>
      <c r="AD190" s="122"/>
      <c r="AE190" s="122"/>
      <c r="AF190" s="116"/>
      <c r="AG190" s="123"/>
    </row>
    <row r="191" spans="1:33" s="15" customFormat="1" ht="25.5" customHeight="1" x14ac:dyDescent="0.3">
      <c r="A191" s="131"/>
      <c r="B191" s="50"/>
      <c r="C191" s="50"/>
      <c r="D191" s="49"/>
      <c r="E191" s="127"/>
      <c r="F191" s="50"/>
      <c r="G191" s="50"/>
      <c r="H191" s="124"/>
      <c r="I191" s="51"/>
      <c r="J191" s="116" t="s">
        <v>61</v>
      </c>
      <c r="K191" s="140"/>
      <c r="L191" s="125"/>
      <c r="M191" s="125"/>
      <c r="N191" s="149"/>
      <c r="O191" s="125"/>
      <c r="P191" s="126" t="str">
        <f>(IFERROR(VLOOKUP(K191,[2]Sampling!$A$2:$D$995,4,FALSE),IFERROR(VLOOKUP(K191,'[2]Other Queries'!$A$2:$E$1000,5,FALSE),IFERROR(VLOOKUP(K191,'[2]Statement Confirmation'!$A$2:$F$1000,6,FALSE),""))))</f>
        <v/>
      </c>
      <c r="Q191" s="117"/>
      <c r="R191" s="51"/>
      <c r="S191" s="52" t="s">
        <v>61</v>
      </c>
      <c r="T191" s="53"/>
      <c r="U191" s="53"/>
      <c r="V191" s="54"/>
      <c r="W191" s="55"/>
      <c r="X191" s="116"/>
      <c r="Y191" s="121"/>
      <c r="Z191" s="122"/>
      <c r="AA191" s="122"/>
      <c r="AB191" s="116"/>
      <c r="AC191" s="121"/>
      <c r="AD191" s="122"/>
      <c r="AE191" s="122"/>
      <c r="AF191" s="116"/>
      <c r="AG191" s="123"/>
    </row>
    <row r="192" spans="1:33" s="15" customFormat="1" ht="25.5" customHeight="1" x14ac:dyDescent="0.3">
      <c r="A192" s="131"/>
      <c r="B192" s="50"/>
      <c r="C192" s="50"/>
      <c r="D192" s="49"/>
      <c r="E192" s="127"/>
      <c r="F192" s="50"/>
      <c r="G192" s="50"/>
      <c r="H192" s="124"/>
      <c r="I192" s="51"/>
      <c r="J192" s="116" t="s">
        <v>61</v>
      </c>
      <c r="K192" s="140"/>
      <c r="L192" s="125"/>
      <c r="M192" s="125"/>
      <c r="N192" s="149"/>
      <c r="O192" s="125"/>
      <c r="P192" s="126" t="str">
        <f>(IFERROR(VLOOKUP(K192,[2]Sampling!$A$2:$D$995,4,FALSE),IFERROR(VLOOKUP(K192,'[2]Other Queries'!$A$2:$E$1000,5,FALSE),IFERROR(VLOOKUP(K192,'[2]Statement Confirmation'!$A$2:$F$1000,6,FALSE),""))))</f>
        <v/>
      </c>
      <c r="Q192" s="117"/>
      <c r="R192" s="51"/>
      <c r="S192" s="52" t="s">
        <v>61</v>
      </c>
      <c r="T192" s="53"/>
      <c r="U192" s="53"/>
      <c r="V192" s="54"/>
      <c r="W192" s="55"/>
      <c r="X192" s="116"/>
      <c r="Y192" s="121"/>
      <c r="Z192" s="122"/>
      <c r="AA192" s="122"/>
      <c r="AB192" s="116"/>
      <c r="AC192" s="121"/>
      <c r="AD192" s="122"/>
      <c r="AE192" s="122"/>
      <c r="AF192" s="116"/>
      <c r="AG192" s="123"/>
    </row>
    <row r="193" spans="1:33" s="15" customFormat="1" ht="25.5" customHeight="1" x14ac:dyDescent="0.3">
      <c r="A193" s="131"/>
      <c r="B193" s="50"/>
      <c r="C193" s="50"/>
      <c r="D193" s="49"/>
      <c r="E193" s="127"/>
      <c r="F193" s="50"/>
      <c r="G193" s="50"/>
      <c r="H193" s="124"/>
      <c r="I193" s="51"/>
      <c r="J193" s="116" t="s">
        <v>61</v>
      </c>
      <c r="K193" s="140"/>
      <c r="L193" s="125"/>
      <c r="M193" s="125"/>
      <c r="N193" s="149"/>
      <c r="O193" s="125"/>
      <c r="P193" s="126" t="str">
        <f>(IFERROR(VLOOKUP(K193,[2]Sampling!$A$2:$D$995,4,FALSE),IFERROR(VLOOKUP(K193,'[2]Other Queries'!$A$2:$E$1000,5,FALSE),IFERROR(VLOOKUP(K193,'[2]Statement Confirmation'!$A$2:$F$1000,6,FALSE),""))))</f>
        <v/>
      </c>
      <c r="Q193" s="117"/>
      <c r="R193" s="51"/>
      <c r="S193" s="52" t="s">
        <v>61</v>
      </c>
      <c r="T193" s="53"/>
      <c r="U193" s="53"/>
      <c r="V193" s="54"/>
      <c r="W193" s="55"/>
      <c r="X193" s="116"/>
      <c r="Y193" s="121"/>
      <c r="Z193" s="122"/>
      <c r="AA193" s="122"/>
      <c r="AB193" s="116"/>
      <c r="AC193" s="121"/>
      <c r="AD193" s="122"/>
      <c r="AE193" s="122"/>
      <c r="AF193" s="116"/>
      <c r="AG193" s="123"/>
    </row>
    <row r="194" spans="1:33" s="15" customFormat="1" ht="25.5" customHeight="1" x14ac:dyDescent="0.3">
      <c r="A194" s="131"/>
      <c r="B194" s="50"/>
      <c r="C194" s="50"/>
      <c r="D194" s="49"/>
      <c r="E194" s="127"/>
      <c r="F194" s="50"/>
      <c r="G194" s="50"/>
      <c r="H194" s="124"/>
      <c r="I194" s="51"/>
      <c r="J194" s="116" t="s">
        <v>61</v>
      </c>
      <c r="K194" s="140"/>
      <c r="L194" s="125"/>
      <c r="M194" s="125"/>
      <c r="N194" s="149"/>
      <c r="O194" s="125"/>
      <c r="P194" s="126" t="str">
        <f>(IFERROR(VLOOKUP(K194,[2]Sampling!$A$2:$D$995,4,FALSE),IFERROR(VLOOKUP(K194,'[2]Other Queries'!$A$2:$E$1000,5,FALSE),IFERROR(VLOOKUP(K194,'[2]Statement Confirmation'!$A$2:$F$1000,6,FALSE),""))))</f>
        <v/>
      </c>
      <c r="Q194" s="117"/>
      <c r="R194" s="51"/>
      <c r="S194" s="52" t="s">
        <v>61</v>
      </c>
      <c r="T194" s="53"/>
      <c r="U194" s="53"/>
      <c r="V194" s="54"/>
      <c r="W194" s="55"/>
      <c r="X194" s="116"/>
      <c r="Y194" s="121"/>
      <c r="Z194" s="122"/>
      <c r="AA194" s="122"/>
      <c r="AB194" s="116"/>
      <c r="AC194" s="121"/>
      <c r="AD194" s="122"/>
      <c r="AE194" s="122"/>
      <c r="AF194" s="116"/>
      <c r="AG194" s="123"/>
    </row>
    <row r="195" spans="1:33" s="15" customFormat="1" ht="25.5" customHeight="1" x14ac:dyDescent="0.3">
      <c r="A195" s="131"/>
      <c r="B195" s="50"/>
      <c r="C195" s="50"/>
      <c r="D195" s="49"/>
      <c r="E195" s="127"/>
      <c r="F195" s="50"/>
      <c r="G195" s="50"/>
      <c r="H195" s="124"/>
      <c r="I195" s="51"/>
      <c r="J195" s="116" t="s">
        <v>61</v>
      </c>
      <c r="K195" s="140"/>
      <c r="L195" s="125"/>
      <c r="M195" s="125"/>
      <c r="N195" s="149"/>
      <c r="O195" s="125"/>
      <c r="P195" s="126" t="str">
        <f>(IFERROR(VLOOKUP(K195,[2]Sampling!$A$2:$D$995,4,FALSE),IFERROR(VLOOKUP(K195,'[2]Other Queries'!$A$2:$E$1000,5,FALSE),IFERROR(VLOOKUP(K195,'[2]Statement Confirmation'!$A$2:$F$1000,6,FALSE),""))))</f>
        <v/>
      </c>
      <c r="Q195" s="117"/>
      <c r="R195" s="51"/>
      <c r="S195" s="52" t="s">
        <v>61</v>
      </c>
      <c r="T195" s="53"/>
      <c r="U195" s="53"/>
      <c r="V195" s="54"/>
      <c r="W195" s="55"/>
      <c r="X195" s="116"/>
      <c r="Y195" s="121"/>
      <c r="Z195" s="122"/>
      <c r="AA195" s="122"/>
      <c r="AB195" s="116"/>
      <c r="AC195" s="121"/>
      <c r="AD195" s="122"/>
      <c r="AE195" s="122"/>
      <c r="AF195" s="116"/>
      <c r="AG195" s="123"/>
    </row>
    <row r="196" spans="1:33" s="15" customFormat="1" ht="25.5" customHeight="1" x14ac:dyDescent="0.3">
      <c r="A196" s="131"/>
      <c r="B196" s="50"/>
      <c r="C196" s="50"/>
      <c r="D196" s="49"/>
      <c r="E196" s="127"/>
      <c r="F196" s="50"/>
      <c r="G196" s="50"/>
      <c r="H196" s="124"/>
      <c r="I196" s="51"/>
      <c r="J196" s="116" t="s">
        <v>61</v>
      </c>
      <c r="K196" s="140"/>
      <c r="L196" s="125"/>
      <c r="M196" s="125"/>
      <c r="N196" s="149"/>
      <c r="O196" s="125"/>
      <c r="P196" s="126" t="str">
        <f>(IFERROR(VLOOKUP(K196,[2]Sampling!$A$2:$D$995,4,FALSE),IFERROR(VLOOKUP(K196,'[2]Other Queries'!$A$2:$E$1000,5,FALSE),IFERROR(VLOOKUP(K196,'[2]Statement Confirmation'!$A$2:$F$1000,6,FALSE),""))))</f>
        <v/>
      </c>
      <c r="Q196" s="117"/>
      <c r="R196" s="51"/>
      <c r="S196" s="52" t="s">
        <v>61</v>
      </c>
      <c r="T196" s="53"/>
      <c r="U196" s="53"/>
      <c r="V196" s="54"/>
      <c r="W196" s="55"/>
      <c r="X196" s="116"/>
      <c r="Y196" s="121"/>
      <c r="Z196" s="122"/>
      <c r="AA196" s="122"/>
      <c r="AB196" s="116"/>
      <c r="AC196" s="121"/>
      <c r="AD196" s="122"/>
      <c r="AE196" s="122"/>
      <c r="AF196" s="116"/>
      <c r="AG196" s="123"/>
    </row>
    <row r="197" spans="1:33" s="15" customFormat="1" ht="25.5" customHeight="1" x14ac:dyDescent="0.3">
      <c r="A197" s="131"/>
      <c r="B197" s="50"/>
      <c r="C197" s="50"/>
      <c r="D197" s="49"/>
      <c r="E197" s="127"/>
      <c r="F197" s="50"/>
      <c r="G197" s="50"/>
      <c r="H197" s="124"/>
      <c r="I197" s="51"/>
      <c r="J197" s="116" t="s">
        <v>61</v>
      </c>
      <c r="K197" s="140"/>
      <c r="L197" s="125"/>
      <c r="M197" s="125"/>
      <c r="N197" s="149"/>
      <c r="O197" s="125"/>
      <c r="P197" s="126" t="str">
        <f>(IFERROR(VLOOKUP(K197,[2]Sampling!$A$2:$D$995,4,FALSE),IFERROR(VLOOKUP(K197,'[2]Other Queries'!$A$2:$E$1000,5,FALSE),IFERROR(VLOOKUP(K197,'[2]Statement Confirmation'!$A$2:$F$1000,6,FALSE),""))))</f>
        <v/>
      </c>
      <c r="Q197" s="117"/>
      <c r="R197" s="51"/>
      <c r="S197" s="52" t="s">
        <v>61</v>
      </c>
      <c r="T197" s="53"/>
      <c r="U197" s="53"/>
      <c r="V197" s="54"/>
      <c r="W197" s="55"/>
      <c r="X197" s="116"/>
      <c r="Y197" s="121"/>
      <c r="Z197" s="122"/>
      <c r="AA197" s="122"/>
      <c r="AB197" s="116"/>
      <c r="AC197" s="121"/>
      <c r="AD197" s="122"/>
      <c r="AE197" s="122"/>
      <c r="AF197" s="116"/>
      <c r="AG197" s="123"/>
    </row>
    <row r="198" spans="1:33" s="15" customFormat="1" ht="25.5" customHeight="1" x14ac:dyDescent="0.3">
      <c r="A198" s="131"/>
      <c r="B198" s="50"/>
      <c r="C198" s="50"/>
      <c r="D198" s="49"/>
      <c r="E198" s="127"/>
      <c r="F198" s="50"/>
      <c r="G198" s="50"/>
      <c r="H198" s="124"/>
      <c r="I198" s="51"/>
      <c r="J198" s="116" t="s">
        <v>61</v>
      </c>
      <c r="K198" s="140"/>
      <c r="L198" s="125"/>
      <c r="M198" s="125"/>
      <c r="N198" s="149"/>
      <c r="O198" s="125"/>
      <c r="P198" s="126" t="str">
        <f>(IFERROR(VLOOKUP(K198,[2]Sampling!$A$2:$D$995,4,FALSE),IFERROR(VLOOKUP(K198,'[2]Other Queries'!$A$2:$E$1000,5,FALSE),IFERROR(VLOOKUP(K198,'[2]Statement Confirmation'!$A$2:$F$1000,6,FALSE),""))))</f>
        <v/>
      </c>
      <c r="Q198" s="117"/>
      <c r="R198" s="51"/>
      <c r="S198" s="52" t="s">
        <v>61</v>
      </c>
      <c r="T198" s="53"/>
      <c r="U198" s="53"/>
      <c r="V198" s="54"/>
      <c r="W198" s="55"/>
      <c r="X198" s="116"/>
      <c r="Y198" s="121"/>
      <c r="Z198" s="122"/>
      <c r="AA198" s="122"/>
      <c r="AB198" s="116"/>
      <c r="AC198" s="121"/>
      <c r="AD198" s="122"/>
      <c r="AE198" s="122"/>
      <c r="AF198" s="116"/>
      <c r="AG198" s="123"/>
    </row>
    <row r="199" spans="1:33" s="15" customFormat="1" ht="25.5" customHeight="1" x14ac:dyDescent="0.3">
      <c r="A199" s="131"/>
      <c r="B199" s="50"/>
      <c r="C199" s="50"/>
      <c r="D199" s="49"/>
      <c r="E199" s="127"/>
      <c r="F199" s="50"/>
      <c r="G199" s="50"/>
      <c r="H199" s="124"/>
      <c r="I199" s="51"/>
      <c r="J199" s="116" t="s">
        <v>61</v>
      </c>
      <c r="K199" s="140"/>
      <c r="L199" s="125"/>
      <c r="M199" s="125"/>
      <c r="N199" s="149"/>
      <c r="O199" s="125"/>
      <c r="P199" s="126" t="str">
        <f>(IFERROR(VLOOKUP(K199,[2]Sampling!$A$2:$D$995,4,FALSE),IFERROR(VLOOKUP(K199,'[2]Other Queries'!$A$2:$E$1000,5,FALSE),IFERROR(VLOOKUP(K199,'[2]Statement Confirmation'!$A$2:$F$1000,6,FALSE),""))))</f>
        <v/>
      </c>
      <c r="Q199" s="117"/>
      <c r="R199" s="51"/>
      <c r="S199" s="52" t="s">
        <v>61</v>
      </c>
      <c r="T199" s="53"/>
      <c r="U199" s="53"/>
      <c r="V199" s="54"/>
      <c r="W199" s="55"/>
      <c r="X199" s="116"/>
      <c r="Y199" s="121"/>
      <c r="Z199" s="122"/>
      <c r="AA199" s="122"/>
      <c r="AB199" s="116"/>
      <c r="AC199" s="121"/>
      <c r="AD199" s="122"/>
      <c r="AE199" s="122"/>
      <c r="AF199" s="116"/>
      <c r="AG199" s="123"/>
    </row>
    <row r="200" spans="1:33" s="15" customFormat="1" ht="25.5" customHeight="1" x14ac:dyDescent="0.3">
      <c r="A200" s="131"/>
      <c r="B200" s="50"/>
      <c r="C200" s="50"/>
      <c r="D200" s="49"/>
      <c r="E200" s="127"/>
      <c r="F200" s="50"/>
      <c r="G200" s="50"/>
      <c r="H200" s="124"/>
      <c r="I200" s="51"/>
      <c r="J200" s="116" t="s">
        <v>61</v>
      </c>
      <c r="K200" s="140"/>
      <c r="L200" s="125"/>
      <c r="M200" s="125"/>
      <c r="N200" s="149"/>
      <c r="O200" s="125"/>
      <c r="P200" s="126" t="str">
        <f>(IFERROR(VLOOKUP(K200,[2]Sampling!$A$2:$D$995,4,FALSE),IFERROR(VLOOKUP(K200,'[2]Other Queries'!$A$2:$E$1000,5,FALSE),IFERROR(VLOOKUP(K200,'[2]Statement Confirmation'!$A$2:$F$1000,6,FALSE),""))))</f>
        <v/>
      </c>
      <c r="Q200" s="117"/>
      <c r="R200" s="51"/>
      <c r="S200" s="52" t="s">
        <v>61</v>
      </c>
      <c r="T200" s="53"/>
      <c r="U200" s="53"/>
      <c r="V200" s="54"/>
      <c r="W200" s="55"/>
      <c r="X200" s="116"/>
      <c r="Y200" s="121"/>
      <c r="Z200" s="122"/>
      <c r="AA200" s="122"/>
      <c r="AB200" s="116"/>
      <c r="AC200" s="121"/>
      <c r="AD200" s="122"/>
      <c r="AE200" s="122"/>
      <c r="AF200" s="116"/>
      <c r="AG200" s="123"/>
    </row>
    <row r="201" spans="1:33" s="15" customFormat="1" ht="25.5" customHeight="1" x14ac:dyDescent="0.3">
      <c r="A201" s="131"/>
      <c r="B201" s="50"/>
      <c r="C201" s="50"/>
      <c r="D201" s="49"/>
      <c r="E201" s="127"/>
      <c r="F201" s="50"/>
      <c r="G201" s="50"/>
      <c r="H201" s="124"/>
      <c r="I201" s="51"/>
      <c r="J201" s="116" t="s">
        <v>61</v>
      </c>
      <c r="K201" s="140"/>
      <c r="L201" s="125"/>
      <c r="M201" s="125"/>
      <c r="N201" s="149"/>
      <c r="O201" s="125"/>
      <c r="P201" s="126" t="str">
        <f>(IFERROR(VLOOKUP(K201,[2]Sampling!$A$2:$D$995,4,FALSE),IFERROR(VLOOKUP(K201,'[2]Other Queries'!$A$2:$E$1000,5,FALSE),IFERROR(VLOOKUP(K201,'[2]Statement Confirmation'!$A$2:$F$1000,6,FALSE),""))))</f>
        <v/>
      </c>
      <c r="Q201" s="117"/>
      <c r="R201" s="51"/>
      <c r="S201" s="52" t="s">
        <v>61</v>
      </c>
      <c r="T201" s="53"/>
      <c r="U201" s="53"/>
      <c r="V201" s="54"/>
      <c r="W201" s="55"/>
      <c r="X201" s="116"/>
      <c r="Y201" s="121"/>
      <c r="Z201" s="122"/>
      <c r="AA201" s="122"/>
      <c r="AB201" s="116"/>
      <c r="AC201" s="121"/>
      <c r="AD201" s="122"/>
      <c r="AE201" s="122"/>
      <c r="AF201" s="116"/>
      <c r="AG201" s="123"/>
    </row>
    <row r="202" spans="1:33" s="15" customFormat="1" ht="25.5" customHeight="1" x14ac:dyDescent="0.3">
      <c r="A202" s="131"/>
      <c r="B202" s="50"/>
      <c r="C202" s="50"/>
      <c r="D202" s="49"/>
      <c r="E202" s="127"/>
      <c r="F202" s="50"/>
      <c r="G202" s="50"/>
      <c r="H202" s="124"/>
      <c r="I202" s="51"/>
      <c r="J202" s="116" t="s">
        <v>61</v>
      </c>
      <c r="K202" s="140"/>
      <c r="L202" s="125"/>
      <c r="M202" s="125"/>
      <c r="N202" s="149"/>
      <c r="O202" s="125"/>
      <c r="P202" s="126" t="str">
        <f>(IFERROR(VLOOKUP(K202,[2]Sampling!$A$2:$D$995,4,FALSE),IFERROR(VLOOKUP(K202,'[2]Other Queries'!$A$2:$E$1000,5,FALSE),IFERROR(VLOOKUP(K202,'[2]Statement Confirmation'!$A$2:$F$1000,6,FALSE),""))))</f>
        <v/>
      </c>
      <c r="Q202" s="117"/>
      <c r="R202" s="51"/>
      <c r="S202" s="52" t="s">
        <v>61</v>
      </c>
      <c r="T202" s="53"/>
      <c r="U202" s="53"/>
      <c r="V202" s="54"/>
      <c r="W202" s="55"/>
      <c r="X202" s="116"/>
      <c r="Y202" s="121"/>
      <c r="Z202" s="122"/>
      <c r="AA202" s="122"/>
      <c r="AB202" s="116"/>
      <c r="AC202" s="121"/>
      <c r="AD202" s="122"/>
      <c r="AE202" s="122"/>
      <c r="AF202" s="116"/>
      <c r="AG202" s="123"/>
    </row>
    <row r="203" spans="1:33" s="15" customFormat="1" ht="25.5" customHeight="1" x14ac:dyDescent="0.3">
      <c r="A203" s="131"/>
      <c r="B203" s="50"/>
      <c r="C203" s="50"/>
      <c r="D203" s="49"/>
      <c r="E203" s="127"/>
      <c r="F203" s="50"/>
      <c r="G203" s="50"/>
      <c r="H203" s="124"/>
      <c r="I203" s="51"/>
      <c r="J203" s="116" t="s">
        <v>61</v>
      </c>
      <c r="K203" s="140"/>
      <c r="L203" s="125"/>
      <c r="M203" s="125"/>
      <c r="N203" s="149"/>
      <c r="O203" s="125"/>
      <c r="P203" s="126" t="str">
        <f>(IFERROR(VLOOKUP(K203,[2]Sampling!$A$2:$D$995,4,FALSE),IFERROR(VLOOKUP(K203,'[2]Other Queries'!$A$2:$E$1000,5,FALSE),IFERROR(VLOOKUP(K203,'[2]Statement Confirmation'!$A$2:$F$1000,6,FALSE),""))))</f>
        <v/>
      </c>
      <c r="Q203" s="117"/>
      <c r="R203" s="51"/>
      <c r="S203" s="52" t="s">
        <v>61</v>
      </c>
      <c r="T203" s="53"/>
      <c r="U203" s="53"/>
      <c r="V203" s="54"/>
      <c r="W203" s="55"/>
      <c r="X203" s="116"/>
      <c r="Y203" s="121"/>
      <c r="Z203" s="122"/>
      <c r="AA203" s="122"/>
      <c r="AB203" s="116"/>
      <c r="AC203" s="121"/>
      <c r="AD203" s="122"/>
      <c r="AE203" s="122"/>
      <c r="AF203" s="116"/>
      <c r="AG203" s="123"/>
    </row>
    <row r="204" spans="1:33" s="15" customFormat="1" ht="25.5" customHeight="1" x14ac:dyDescent="0.3">
      <c r="A204" s="131"/>
      <c r="B204" s="50"/>
      <c r="C204" s="50"/>
      <c r="D204" s="49"/>
      <c r="E204" s="127"/>
      <c r="F204" s="50"/>
      <c r="G204" s="50"/>
      <c r="H204" s="124"/>
      <c r="I204" s="51"/>
      <c r="J204" s="116" t="s">
        <v>61</v>
      </c>
      <c r="K204" s="140"/>
      <c r="L204" s="125"/>
      <c r="M204" s="125"/>
      <c r="N204" s="149"/>
      <c r="O204" s="125"/>
      <c r="P204" s="126" t="str">
        <f>(IFERROR(VLOOKUP(K204,[2]Sampling!$A$2:$D$995,4,FALSE),IFERROR(VLOOKUP(K204,'[2]Other Queries'!$A$2:$E$1000,5,FALSE),IFERROR(VLOOKUP(K204,'[2]Statement Confirmation'!$A$2:$F$1000,6,FALSE),""))))</f>
        <v/>
      </c>
      <c r="Q204" s="117"/>
      <c r="R204" s="51"/>
      <c r="S204" s="52" t="s">
        <v>61</v>
      </c>
      <c r="T204" s="53"/>
      <c r="U204" s="53"/>
      <c r="V204" s="54"/>
      <c r="W204" s="55"/>
      <c r="X204" s="116"/>
      <c r="Y204" s="121"/>
      <c r="Z204" s="122"/>
      <c r="AA204" s="122"/>
      <c r="AB204" s="116"/>
      <c r="AC204" s="121"/>
      <c r="AD204" s="122"/>
      <c r="AE204" s="122"/>
      <c r="AF204" s="116"/>
      <c r="AG204" s="123"/>
    </row>
    <row r="205" spans="1:33" s="15" customFormat="1" ht="25.5" customHeight="1" x14ac:dyDescent="0.3">
      <c r="A205" s="131"/>
      <c r="B205" s="50"/>
      <c r="C205" s="50"/>
      <c r="D205" s="49"/>
      <c r="E205" s="127"/>
      <c r="F205" s="50"/>
      <c r="G205" s="50"/>
      <c r="H205" s="124"/>
      <c r="I205" s="51"/>
      <c r="J205" s="116" t="s">
        <v>61</v>
      </c>
      <c r="K205" s="140"/>
      <c r="L205" s="125"/>
      <c r="M205" s="125"/>
      <c r="N205" s="149"/>
      <c r="O205" s="125"/>
      <c r="P205" s="126" t="str">
        <f>(IFERROR(VLOOKUP(K205,[2]Sampling!$A$2:$D$995,4,FALSE),IFERROR(VLOOKUP(K205,'[2]Other Queries'!$A$2:$E$1000,5,FALSE),IFERROR(VLOOKUP(K205,'[2]Statement Confirmation'!$A$2:$F$1000,6,FALSE),""))))</f>
        <v/>
      </c>
      <c r="Q205" s="117"/>
      <c r="R205" s="51"/>
      <c r="S205" s="52" t="s">
        <v>61</v>
      </c>
      <c r="T205" s="53"/>
      <c r="U205" s="53"/>
      <c r="V205" s="54"/>
      <c r="W205" s="55"/>
      <c r="X205" s="116"/>
      <c r="Y205" s="121"/>
      <c r="Z205" s="122"/>
      <c r="AA205" s="122"/>
      <c r="AB205" s="116"/>
      <c r="AC205" s="121"/>
      <c r="AD205" s="122"/>
      <c r="AE205" s="122"/>
      <c r="AF205" s="116"/>
      <c r="AG205" s="123"/>
    </row>
    <row r="206" spans="1:33" s="15" customFormat="1" ht="25.5" customHeight="1" x14ac:dyDescent="0.3">
      <c r="A206" s="131"/>
      <c r="B206" s="50"/>
      <c r="C206" s="50"/>
      <c r="D206" s="49"/>
      <c r="E206" s="127"/>
      <c r="F206" s="50"/>
      <c r="G206" s="50"/>
      <c r="H206" s="124"/>
      <c r="I206" s="51"/>
      <c r="J206" s="116" t="s">
        <v>61</v>
      </c>
      <c r="K206" s="140"/>
      <c r="L206" s="125"/>
      <c r="M206" s="125"/>
      <c r="N206" s="149"/>
      <c r="O206" s="125"/>
      <c r="P206" s="126" t="str">
        <f>(IFERROR(VLOOKUP(K206,[2]Sampling!$A$2:$D$995,4,FALSE),IFERROR(VLOOKUP(K206,'[2]Other Queries'!$A$2:$E$1000,5,FALSE),IFERROR(VLOOKUP(K206,'[2]Statement Confirmation'!$A$2:$F$1000,6,FALSE),""))))</f>
        <v/>
      </c>
      <c r="Q206" s="117"/>
      <c r="R206" s="51"/>
      <c r="S206" s="52" t="s">
        <v>61</v>
      </c>
      <c r="T206" s="53"/>
      <c r="U206" s="53"/>
      <c r="V206" s="54"/>
      <c r="W206" s="55"/>
      <c r="X206" s="116"/>
      <c r="Y206" s="121"/>
      <c r="Z206" s="122"/>
      <c r="AA206" s="122"/>
      <c r="AB206" s="116"/>
      <c r="AC206" s="121"/>
      <c r="AD206" s="122"/>
      <c r="AE206" s="122"/>
      <c r="AF206" s="116"/>
      <c r="AG206" s="123"/>
    </row>
    <row r="207" spans="1:33" s="15" customFormat="1" ht="25.5" customHeight="1" x14ac:dyDescent="0.3">
      <c r="A207" s="131"/>
      <c r="B207" s="50"/>
      <c r="C207" s="50"/>
      <c r="D207" s="49"/>
      <c r="E207" s="127"/>
      <c r="F207" s="50"/>
      <c r="G207" s="50"/>
      <c r="H207" s="124"/>
      <c r="I207" s="51"/>
      <c r="J207" s="116" t="s">
        <v>61</v>
      </c>
      <c r="K207" s="140"/>
      <c r="L207" s="125"/>
      <c r="M207" s="125"/>
      <c r="N207" s="149"/>
      <c r="O207" s="125"/>
      <c r="P207" s="126" t="str">
        <f>(IFERROR(VLOOKUP(K207,[2]Sampling!$A$2:$D$995,4,FALSE),IFERROR(VLOOKUP(K207,'[2]Other Queries'!$A$2:$E$1000,5,FALSE),IFERROR(VLOOKUP(K207,'[2]Statement Confirmation'!$A$2:$F$1000,6,FALSE),""))))</f>
        <v/>
      </c>
      <c r="Q207" s="117"/>
      <c r="R207" s="51"/>
      <c r="S207" s="52" t="s">
        <v>61</v>
      </c>
      <c r="T207" s="53"/>
      <c r="U207" s="53"/>
      <c r="V207" s="54"/>
      <c r="W207" s="55"/>
      <c r="X207" s="116"/>
      <c r="Y207" s="121"/>
      <c r="Z207" s="122"/>
      <c r="AA207" s="122"/>
      <c r="AB207" s="116"/>
      <c r="AC207" s="121"/>
      <c r="AD207" s="122"/>
      <c r="AE207" s="122"/>
      <c r="AF207" s="116"/>
      <c r="AG207" s="123"/>
    </row>
    <row r="208" spans="1:33" s="15" customFormat="1" ht="25.5" customHeight="1" x14ac:dyDescent="0.3">
      <c r="A208" s="131"/>
      <c r="B208" s="50"/>
      <c r="C208" s="50"/>
      <c r="D208" s="49"/>
      <c r="E208" s="127"/>
      <c r="F208" s="50"/>
      <c r="G208" s="50"/>
      <c r="H208" s="124"/>
      <c r="I208" s="51"/>
      <c r="J208" s="116" t="s">
        <v>61</v>
      </c>
      <c r="K208" s="140"/>
      <c r="L208" s="125"/>
      <c r="M208" s="125"/>
      <c r="N208" s="149"/>
      <c r="O208" s="125"/>
      <c r="P208" s="126" t="str">
        <f>(IFERROR(VLOOKUP(K208,[2]Sampling!$A$2:$D$995,4,FALSE),IFERROR(VLOOKUP(K208,'[2]Other Queries'!$A$2:$E$1000,5,FALSE),IFERROR(VLOOKUP(K208,'[2]Statement Confirmation'!$A$2:$F$1000,6,FALSE),""))))</f>
        <v/>
      </c>
      <c r="Q208" s="117"/>
      <c r="R208" s="51"/>
      <c r="S208" s="52" t="s">
        <v>61</v>
      </c>
      <c r="T208" s="53"/>
      <c r="U208" s="53"/>
      <c r="V208" s="54"/>
      <c r="W208" s="55"/>
      <c r="X208" s="116"/>
      <c r="Y208" s="121"/>
      <c r="Z208" s="122"/>
      <c r="AA208" s="122"/>
      <c r="AB208" s="116"/>
      <c r="AC208" s="121"/>
      <c r="AD208" s="122"/>
      <c r="AE208" s="122"/>
      <c r="AF208" s="116"/>
      <c r="AG208" s="123"/>
    </row>
    <row r="209" spans="1:33" s="15" customFormat="1" ht="25.5" customHeight="1" x14ac:dyDescent="0.3">
      <c r="A209" s="131"/>
      <c r="B209" s="50"/>
      <c r="C209" s="50"/>
      <c r="D209" s="49"/>
      <c r="E209" s="127"/>
      <c r="F209" s="50"/>
      <c r="G209" s="50"/>
      <c r="H209" s="124"/>
      <c r="I209" s="51"/>
      <c r="J209" s="116" t="s">
        <v>61</v>
      </c>
      <c r="K209" s="140"/>
      <c r="L209" s="125"/>
      <c r="M209" s="125"/>
      <c r="N209" s="149"/>
      <c r="O209" s="125"/>
      <c r="P209" s="126" t="str">
        <f>(IFERROR(VLOOKUP(K209,[2]Sampling!$A$2:$D$995,4,FALSE),IFERROR(VLOOKUP(K209,'[2]Other Queries'!$A$2:$E$1000,5,FALSE),IFERROR(VLOOKUP(K209,'[2]Statement Confirmation'!$A$2:$F$1000,6,FALSE),""))))</f>
        <v/>
      </c>
      <c r="Q209" s="117"/>
      <c r="R209" s="51"/>
      <c r="S209" s="52" t="s">
        <v>61</v>
      </c>
      <c r="T209" s="53"/>
      <c r="U209" s="53"/>
      <c r="V209" s="54"/>
      <c r="W209" s="55"/>
      <c r="X209" s="116"/>
      <c r="Y209" s="121"/>
      <c r="Z209" s="122"/>
      <c r="AA209" s="122"/>
      <c r="AB209" s="116"/>
      <c r="AC209" s="121"/>
      <c r="AD209" s="122"/>
      <c r="AE209" s="122"/>
      <c r="AF209" s="116"/>
      <c r="AG209" s="123"/>
    </row>
    <row r="210" spans="1:33" s="15" customFormat="1" ht="25.5" customHeight="1" x14ac:dyDescent="0.3">
      <c r="A210" s="131"/>
      <c r="B210" s="50"/>
      <c r="C210" s="50"/>
      <c r="D210" s="49"/>
      <c r="E210" s="127"/>
      <c r="F210" s="50"/>
      <c r="G210" s="50"/>
      <c r="H210" s="124"/>
      <c r="I210" s="51"/>
      <c r="J210" s="116" t="s">
        <v>61</v>
      </c>
      <c r="K210" s="140"/>
      <c r="L210" s="125"/>
      <c r="M210" s="125"/>
      <c r="N210" s="149"/>
      <c r="O210" s="125"/>
      <c r="P210" s="126" t="str">
        <f>(IFERROR(VLOOKUP(K210,[2]Sampling!$A$2:$D$995,4,FALSE),IFERROR(VLOOKUP(K210,'[2]Other Queries'!$A$2:$E$1000,5,FALSE),IFERROR(VLOOKUP(K210,'[2]Statement Confirmation'!$A$2:$F$1000,6,FALSE),""))))</f>
        <v/>
      </c>
      <c r="Q210" s="117"/>
      <c r="R210" s="51"/>
      <c r="S210" s="52" t="s">
        <v>61</v>
      </c>
      <c r="T210" s="53"/>
      <c r="U210" s="53"/>
      <c r="V210" s="54"/>
      <c r="W210" s="55"/>
      <c r="X210" s="116"/>
      <c r="Y210" s="121"/>
      <c r="Z210" s="122"/>
      <c r="AA210" s="122"/>
      <c r="AB210" s="116"/>
      <c r="AC210" s="121"/>
      <c r="AD210" s="122"/>
      <c r="AE210" s="122"/>
      <c r="AF210" s="116"/>
      <c r="AG210" s="123"/>
    </row>
    <row r="211" spans="1:33" s="15" customFormat="1" ht="25.5" customHeight="1" x14ac:dyDescent="0.3">
      <c r="A211" s="131"/>
      <c r="B211" s="50"/>
      <c r="C211" s="50"/>
      <c r="D211" s="49"/>
      <c r="E211" s="127"/>
      <c r="F211" s="50"/>
      <c r="G211" s="50"/>
      <c r="H211" s="124"/>
      <c r="I211" s="51"/>
      <c r="J211" s="116" t="s">
        <v>61</v>
      </c>
      <c r="K211" s="140"/>
      <c r="L211" s="125"/>
      <c r="M211" s="125"/>
      <c r="N211" s="149"/>
      <c r="O211" s="125"/>
      <c r="P211" s="126" t="str">
        <f>(IFERROR(VLOOKUP(K211,[2]Sampling!$A$2:$D$995,4,FALSE),IFERROR(VLOOKUP(K211,'[2]Other Queries'!$A$2:$E$1000,5,FALSE),IFERROR(VLOOKUP(K211,'[2]Statement Confirmation'!$A$2:$F$1000,6,FALSE),""))))</f>
        <v/>
      </c>
      <c r="Q211" s="117"/>
      <c r="R211" s="51"/>
      <c r="S211" s="52" t="s">
        <v>61</v>
      </c>
      <c r="T211" s="53"/>
      <c r="U211" s="53"/>
      <c r="V211" s="54"/>
      <c r="W211" s="55"/>
      <c r="X211" s="116"/>
      <c r="Y211" s="121"/>
      <c r="Z211" s="122"/>
      <c r="AA211" s="122"/>
      <c r="AB211" s="116"/>
      <c r="AC211" s="121"/>
      <c r="AD211" s="122"/>
      <c r="AE211" s="122"/>
      <c r="AF211" s="116"/>
      <c r="AG211" s="123"/>
    </row>
    <row r="212" spans="1:33" s="15" customFormat="1" ht="25.5" customHeight="1" x14ac:dyDescent="0.3">
      <c r="A212" s="131"/>
      <c r="B212" s="50"/>
      <c r="C212" s="50"/>
      <c r="D212" s="49"/>
      <c r="E212" s="127"/>
      <c r="F212" s="50"/>
      <c r="G212" s="50"/>
      <c r="H212" s="124"/>
      <c r="I212" s="51"/>
      <c r="J212" s="116" t="s">
        <v>61</v>
      </c>
      <c r="K212" s="140"/>
      <c r="L212" s="125"/>
      <c r="M212" s="125"/>
      <c r="N212" s="149"/>
      <c r="O212" s="125"/>
      <c r="P212" s="126" t="str">
        <f>(IFERROR(VLOOKUP(K212,[2]Sampling!$A$2:$D$995,4,FALSE),IFERROR(VLOOKUP(K212,'[2]Other Queries'!$A$2:$E$1000,5,FALSE),IFERROR(VLOOKUP(K212,'[2]Statement Confirmation'!$A$2:$F$1000,6,FALSE),""))))</f>
        <v/>
      </c>
      <c r="Q212" s="117"/>
      <c r="R212" s="51"/>
      <c r="S212" s="52" t="s">
        <v>61</v>
      </c>
      <c r="T212" s="53"/>
      <c r="U212" s="53"/>
      <c r="V212" s="54"/>
      <c r="W212" s="55"/>
      <c r="X212" s="116"/>
      <c r="Y212" s="121"/>
      <c r="Z212" s="122"/>
      <c r="AA212" s="122"/>
      <c r="AB212" s="116"/>
      <c r="AC212" s="121"/>
      <c r="AD212" s="122"/>
      <c r="AE212" s="122"/>
      <c r="AF212" s="116"/>
      <c r="AG212" s="123"/>
    </row>
    <row r="213" spans="1:33" s="15" customFormat="1" ht="25.5" customHeight="1" x14ac:dyDescent="0.3">
      <c r="A213" s="131"/>
      <c r="B213" s="50"/>
      <c r="C213" s="50"/>
      <c r="D213" s="49"/>
      <c r="E213" s="127"/>
      <c r="F213" s="50"/>
      <c r="G213" s="50"/>
      <c r="H213" s="124"/>
      <c r="I213" s="51"/>
      <c r="J213" s="116" t="s">
        <v>61</v>
      </c>
      <c r="K213" s="140"/>
      <c r="L213" s="125"/>
      <c r="M213" s="125"/>
      <c r="N213" s="149"/>
      <c r="O213" s="125"/>
      <c r="P213" s="126" t="str">
        <f>(IFERROR(VLOOKUP(K213,[2]Sampling!$A$2:$D$995,4,FALSE),IFERROR(VLOOKUP(K213,'[2]Other Queries'!$A$2:$E$1000,5,FALSE),IFERROR(VLOOKUP(K213,'[2]Statement Confirmation'!$A$2:$F$1000,6,FALSE),""))))</f>
        <v/>
      </c>
      <c r="Q213" s="117"/>
      <c r="R213" s="51"/>
      <c r="S213" s="52" t="s">
        <v>61</v>
      </c>
      <c r="T213" s="53"/>
      <c r="U213" s="53"/>
      <c r="V213" s="54"/>
      <c r="W213" s="55"/>
      <c r="X213" s="116"/>
      <c r="Y213" s="121"/>
      <c r="Z213" s="122"/>
      <c r="AA213" s="122"/>
      <c r="AB213" s="116"/>
      <c r="AC213" s="121"/>
      <c r="AD213" s="122"/>
      <c r="AE213" s="122"/>
      <c r="AF213" s="116"/>
      <c r="AG213" s="123"/>
    </row>
    <row r="214" spans="1:33" s="15" customFormat="1" ht="25.5" customHeight="1" x14ac:dyDescent="0.3">
      <c r="A214" s="131"/>
      <c r="B214" s="50"/>
      <c r="C214" s="50"/>
      <c r="D214" s="49"/>
      <c r="E214" s="127"/>
      <c r="F214" s="50"/>
      <c r="G214" s="50"/>
      <c r="H214" s="124"/>
      <c r="I214" s="51"/>
      <c r="J214" s="116" t="s">
        <v>61</v>
      </c>
      <c r="K214" s="140"/>
      <c r="L214" s="125"/>
      <c r="M214" s="125"/>
      <c r="N214" s="149"/>
      <c r="O214" s="125"/>
      <c r="P214" s="126" t="str">
        <f>(IFERROR(VLOOKUP(K214,[2]Sampling!$A$2:$D$995,4,FALSE),IFERROR(VLOOKUP(K214,'[2]Other Queries'!$A$2:$E$1000,5,FALSE),IFERROR(VLOOKUP(K214,'[2]Statement Confirmation'!$A$2:$F$1000,6,FALSE),""))))</f>
        <v/>
      </c>
      <c r="Q214" s="117"/>
      <c r="R214" s="51"/>
      <c r="S214" s="52" t="s">
        <v>61</v>
      </c>
      <c r="T214" s="53"/>
      <c r="U214" s="53"/>
      <c r="V214" s="54"/>
      <c r="W214" s="55"/>
      <c r="X214" s="116"/>
      <c r="Y214" s="121"/>
      <c r="Z214" s="122"/>
      <c r="AA214" s="122"/>
      <c r="AB214" s="116"/>
      <c r="AC214" s="121"/>
      <c r="AD214" s="122"/>
      <c r="AE214" s="122"/>
      <c r="AF214" s="116"/>
      <c r="AG214" s="123"/>
    </row>
    <row r="215" spans="1:33" s="15" customFormat="1" ht="25.5" customHeight="1" x14ac:dyDescent="0.3">
      <c r="A215" s="131"/>
      <c r="B215" s="50"/>
      <c r="C215" s="50"/>
      <c r="D215" s="49"/>
      <c r="E215" s="127"/>
      <c r="F215" s="50"/>
      <c r="G215" s="50"/>
      <c r="H215" s="124"/>
      <c r="I215" s="51"/>
      <c r="J215" s="116" t="s">
        <v>61</v>
      </c>
      <c r="K215" s="140"/>
      <c r="L215" s="125"/>
      <c r="M215" s="125"/>
      <c r="N215" s="149"/>
      <c r="O215" s="125"/>
      <c r="P215" s="126" t="str">
        <f>(IFERROR(VLOOKUP(K215,[2]Sampling!$A$2:$D$995,4,FALSE),IFERROR(VLOOKUP(K215,'[2]Other Queries'!$A$2:$E$1000,5,FALSE),IFERROR(VLOOKUP(K215,'[2]Statement Confirmation'!$A$2:$F$1000,6,FALSE),""))))</f>
        <v/>
      </c>
      <c r="Q215" s="117"/>
      <c r="R215" s="51"/>
      <c r="S215" s="52" t="s">
        <v>61</v>
      </c>
      <c r="T215" s="53"/>
      <c r="U215" s="53"/>
      <c r="V215" s="54"/>
      <c r="W215" s="55"/>
      <c r="X215" s="116"/>
      <c r="Y215" s="121"/>
      <c r="Z215" s="122"/>
      <c r="AA215" s="122"/>
      <c r="AB215" s="116"/>
      <c r="AC215" s="121"/>
      <c r="AD215" s="122"/>
      <c r="AE215" s="122"/>
      <c r="AF215" s="116"/>
      <c r="AG215" s="123"/>
    </row>
    <row r="216" spans="1:33" s="15" customFormat="1" ht="25.5" customHeight="1" x14ac:dyDescent="0.3">
      <c r="A216" s="131"/>
      <c r="B216" s="50"/>
      <c r="C216" s="50"/>
      <c r="D216" s="49"/>
      <c r="E216" s="127"/>
      <c r="F216" s="50"/>
      <c r="G216" s="50"/>
      <c r="H216" s="124"/>
      <c r="I216" s="51"/>
      <c r="J216" s="116" t="s">
        <v>61</v>
      </c>
      <c r="K216" s="140"/>
      <c r="L216" s="125"/>
      <c r="M216" s="125"/>
      <c r="N216" s="149"/>
      <c r="O216" s="125"/>
      <c r="P216" s="126" t="str">
        <f>(IFERROR(VLOOKUP(K216,[2]Sampling!$A$2:$D$995,4,FALSE),IFERROR(VLOOKUP(K216,'[2]Other Queries'!$A$2:$E$1000,5,FALSE),IFERROR(VLOOKUP(K216,'[2]Statement Confirmation'!$A$2:$F$1000,6,FALSE),""))))</f>
        <v/>
      </c>
      <c r="Q216" s="117"/>
      <c r="R216" s="51"/>
      <c r="S216" s="52" t="s">
        <v>61</v>
      </c>
      <c r="T216" s="53"/>
      <c r="U216" s="53"/>
      <c r="V216" s="54"/>
      <c r="W216" s="55"/>
      <c r="X216" s="116"/>
      <c r="Y216" s="121"/>
      <c r="Z216" s="122"/>
      <c r="AA216" s="122"/>
      <c r="AB216" s="116"/>
      <c r="AC216" s="121"/>
      <c r="AD216" s="122"/>
      <c r="AE216" s="122"/>
      <c r="AF216" s="116"/>
      <c r="AG216" s="123"/>
    </row>
    <row r="217" spans="1:33" s="15" customFormat="1" ht="25.5" customHeight="1" x14ac:dyDescent="0.3">
      <c r="A217" s="131"/>
      <c r="B217" s="50"/>
      <c r="C217" s="50"/>
      <c r="D217" s="49"/>
      <c r="E217" s="127"/>
      <c r="F217" s="50"/>
      <c r="G217" s="50"/>
      <c r="H217" s="124"/>
      <c r="I217" s="51"/>
      <c r="J217" s="116" t="s">
        <v>61</v>
      </c>
      <c r="K217" s="140"/>
      <c r="L217" s="125"/>
      <c r="M217" s="125"/>
      <c r="N217" s="149"/>
      <c r="O217" s="125"/>
      <c r="P217" s="126" t="str">
        <f>(IFERROR(VLOOKUP(K217,[2]Sampling!$A$2:$D$995,4,FALSE),IFERROR(VLOOKUP(K217,'[2]Other Queries'!$A$2:$E$1000,5,FALSE),IFERROR(VLOOKUP(K217,'[2]Statement Confirmation'!$A$2:$F$1000,6,FALSE),""))))</f>
        <v/>
      </c>
      <c r="Q217" s="117"/>
      <c r="R217" s="51"/>
      <c r="S217" s="52" t="s">
        <v>61</v>
      </c>
      <c r="T217" s="53"/>
      <c r="U217" s="53"/>
      <c r="V217" s="54"/>
      <c r="W217" s="55"/>
      <c r="X217" s="116"/>
      <c r="Y217" s="121"/>
      <c r="Z217" s="122"/>
      <c r="AA217" s="122"/>
      <c r="AB217" s="116"/>
      <c r="AC217" s="121"/>
      <c r="AD217" s="122"/>
      <c r="AE217" s="122"/>
      <c r="AF217" s="116"/>
      <c r="AG217" s="123"/>
    </row>
    <row r="218" spans="1:33" s="15" customFormat="1" ht="25.5" customHeight="1" x14ac:dyDescent="0.3">
      <c r="A218" s="131"/>
      <c r="B218" s="50"/>
      <c r="C218" s="50"/>
      <c r="D218" s="49"/>
      <c r="E218" s="127"/>
      <c r="F218" s="50"/>
      <c r="G218" s="50"/>
      <c r="H218" s="124"/>
      <c r="I218" s="51"/>
      <c r="J218" s="116" t="s">
        <v>61</v>
      </c>
      <c r="K218" s="140"/>
      <c r="L218" s="125"/>
      <c r="M218" s="125"/>
      <c r="N218" s="149"/>
      <c r="O218" s="125"/>
      <c r="P218" s="126" t="str">
        <f>(IFERROR(VLOOKUP(K218,[2]Sampling!$A$2:$D$995,4,FALSE),IFERROR(VLOOKUP(K218,'[2]Other Queries'!$A$2:$E$1000,5,FALSE),IFERROR(VLOOKUP(K218,'[2]Statement Confirmation'!$A$2:$F$1000,6,FALSE),""))))</f>
        <v/>
      </c>
      <c r="Q218" s="117"/>
      <c r="R218" s="51"/>
      <c r="S218" s="52" t="s">
        <v>61</v>
      </c>
      <c r="T218" s="53"/>
      <c r="U218" s="53"/>
      <c r="V218" s="54"/>
      <c r="W218" s="55"/>
      <c r="X218" s="116"/>
      <c r="Y218" s="121"/>
      <c r="Z218" s="122"/>
      <c r="AA218" s="122"/>
      <c r="AB218" s="116"/>
      <c r="AC218" s="121"/>
      <c r="AD218" s="122"/>
      <c r="AE218" s="122"/>
      <c r="AF218" s="116"/>
      <c r="AG218" s="123"/>
    </row>
    <row r="219" spans="1:33" s="15" customFormat="1" ht="25.5" customHeight="1" x14ac:dyDescent="0.3">
      <c r="A219" s="131"/>
      <c r="B219" s="50"/>
      <c r="C219" s="50"/>
      <c r="D219" s="49"/>
      <c r="E219" s="127"/>
      <c r="F219" s="50"/>
      <c r="G219" s="50"/>
      <c r="H219" s="124"/>
      <c r="I219" s="51"/>
      <c r="J219" s="116" t="s">
        <v>61</v>
      </c>
      <c r="K219" s="140"/>
      <c r="L219" s="125"/>
      <c r="M219" s="125"/>
      <c r="N219" s="149"/>
      <c r="O219" s="125"/>
      <c r="P219" s="126" t="str">
        <f>(IFERROR(VLOOKUP(K219,[2]Sampling!$A$2:$D$995,4,FALSE),IFERROR(VLOOKUP(K219,'[2]Other Queries'!$A$2:$E$1000,5,FALSE),IFERROR(VLOOKUP(K219,'[2]Statement Confirmation'!$A$2:$F$1000,6,FALSE),""))))</f>
        <v/>
      </c>
      <c r="Q219" s="117"/>
      <c r="R219" s="51"/>
      <c r="S219" s="52" t="s">
        <v>61</v>
      </c>
      <c r="T219" s="53"/>
      <c r="U219" s="53"/>
      <c r="V219" s="54"/>
      <c r="W219" s="55"/>
      <c r="X219" s="116"/>
      <c r="Y219" s="121"/>
      <c r="Z219" s="122"/>
      <c r="AA219" s="122"/>
      <c r="AB219" s="116"/>
      <c r="AC219" s="121"/>
      <c r="AD219" s="122"/>
      <c r="AE219" s="122"/>
      <c r="AF219" s="116"/>
      <c r="AG219" s="123"/>
    </row>
    <row r="220" spans="1:33" s="15" customFormat="1" ht="25.5" customHeight="1" x14ac:dyDescent="0.3">
      <c r="A220" s="131"/>
      <c r="B220" s="50"/>
      <c r="C220" s="50"/>
      <c r="D220" s="49"/>
      <c r="E220" s="127"/>
      <c r="F220" s="50"/>
      <c r="G220" s="50"/>
      <c r="H220" s="124"/>
      <c r="I220" s="51"/>
      <c r="J220" s="116" t="s">
        <v>61</v>
      </c>
      <c r="K220" s="140"/>
      <c r="L220" s="125"/>
      <c r="M220" s="125"/>
      <c r="N220" s="149"/>
      <c r="O220" s="125"/>
      <c r="P220" s="126" t="str">
        <f>(IFERROR(VLOOKUP(K220,[2]Sampling!$A$2:$D$995,4,FALSE),IFERROR(VLOOKUP(K220,'[2]Other Queries'!$A$2:$E$1000,5,FALSE),IFERROR(VLOOKUP(K220,'[2]Statement Confirmation'!$A$2:$F$1000,6,FALSE),""))))</f>
        <v/>
      </c>
      <c r="Q220" s="117"/>
      <c r="R220" s="51"/>
      <c r="S220" s="52" t="s">
        <v>61</v>
      </c>
      <c r="T220" s="53"/>
      <c r="U220" s="53"/>
      <c r="V220" s="54"/>
      <c r="W220" s="55"/>
      <c r="X220" s="116"/>
      <c r="Y220" s="121"/>
      <c r="Z220" s="122"/>
      <c r="AA220" s="122"/>
      <c r="AB220" s="116"/>
      <c r="AC220" s="121"/>
      <c r="AD220" s="122"/>
      <c r="AE220" s="122"/>
      <c r="AF220" s="116"/>
      <c r="AG220" s="123"/>
    </row>
    <row r="221" spans="1:33" s="15" customFormat="1" ht="25.5" customHeight="1" x14ac:dyDescent="0.3">
      <c r="A221" s="131"/>
      <c r="B221" s="50"/>
      <c r="C221" s="50"/>
      <c r="D221" s="49"/>
      <c r="E221" s="127"/>
      <c r="F221" s="50"/>
      <c r="G221" s="50"/>
      <c r="H221" s="124"/>
      <c r="I221" s="51"/>
      <c r="J221" s="116" t="s">
        <v>61</v>
      </c>
      <c r="K221" s="140"/>
      <c r="L221" s="125"/>
      <c r="M221" s="125"/>
      <c r="N221" s="149"/>
      <c r="O221" s="125"/>
      <c r="P221" s="126" t="str">
        <f>(IFERROR(VLOOKUP(K221,[2]Sampling!$A$2:$D$995,4,FALSE),IFERROR(VLOOKUP(K221,'[2]Other Queries'!$A$2:$E$1000,5,FALSE),IFERROR(VLOOKUP(K221,'[2]Statement Confirmation'!$A$2:$F$1000,6,FALSE),""))))</f>
        <v/>
      </c>
      <c r="Q221" s="117"/>
      <c r="R221" s="51"/>
      <c r="S221" s="52" t="s">
        <v>61</v>
      </c>
      <c r="T221" s="53"/>
      <c r="U221" s="53"/>
      <c r="V221" s="54"/>
      <c r="W221" s="55"/>
      <c r="X221" s="116"/>
      <c r="Y221" s="121"/>
      <c r="Z221" s="122"/>
      <c r="AA221" s="122"/>
      <c r="AB221" s="116"/>
      <c r="AC221" s="121"/>
      <c r="AD221" s="122"/>
      <c r="AE221" s="122"/>
      <c r="AF221" s="116"/>
      <c r="AG221" s="123"/>
    </row>
    <row r="222" spans="1:33" s="15" customFormat="1" ht="25.5" customHeight="1" x14ac:dyDescent="0.3">
      <c r="A222" s="131"/>
      <c r="B222" s="50"/>
      <c r="C222" s="50"/>
      <c r="D222" s="49"/>
      <c r="E222" s="127"/>
      <c r="F222" s="50"/>
      <c r="G222" s="50"/>
      <c r="H222" s="124"/>
      <c r="I222" s="51"/>
      <c r="J222" s="116" t="s">
        <v>61</v>
      </c>
      <c r="K222" s="140"/>
      <c r="L222" s="125"/>
      <c r="M222" s="125"/>
      <c r="N222" s="149"/>
      <c r="O222" s="125"/>
      <c r="P222" s="126" t="str">
        <f>(IFERROR(VLOOKUP(K222,[2]Sampling!$A$2:$D$995,4,FALSE),IFERROR(VLOOKUP(K222,'[2]Other Queries'!$A$2:$E$1000,5,FALSE),IFERROR(VLOOKUP(K222,'[2]Statement Confirmation'!$A$2:$F$1000,6,FALSE),""))))</f>
        <v/>
      </c>
      <c r="Q222" s="117"/>
      <c r="R222" s="51"/>
      <c r="S222" s="52" t="s">
        <v>61</v>
      </c>
      <c r="T222" s="53"/>
      <c r="U222" s="53"/>
      <c r="V222" s="54"/>
      <c r="W222" s="55"/>
      <c r="X222" s="116"/>
      <c r="Y222" s="121"/>
      <c r="Z222" s="122"/>
      <c r="AA222" s="122"/>
      <c r="AB222" s="116"/>
      <c r="AC222" s="121"/>
      <c r="AD222" s="122"/>
      <c r="AE222" s="122"/>
      <c r="AF222" s="116"/>
      <c r="AG222" s="123"/>
    </row>
    <row r="223" spans="1:33" s="15" customFormat="1" ht="25.5" customHeight="1" x14ac:dyDescent="0.3">
      <c r="A223" s="131"/>
      <c r="B223" s="50"/>
      <c r="C223" s="50"/>
      <c r="D223" s="49"/>
      <c r="E223" s="127"/>
      <c r="F223" s="50"/>
      <c r="G223" s="50"/>
      <c r="H223" s="124"/>
      <c r="I223" s="51"/>
      <c r="J223" s="116" t="s">
        <v>61</v>
      </c>
      <c r="K223" s="140"/>
      <c r="L223" s="125"/>
      <c r="M223" s="125"/>
      <c r="N223" s="149"/>
      <c r="O223" s="125"/>
      <c r="P223" s="126" t="str">
        <f>(IFERROR(VLOOKUP(K223,[2]Sampling!$A$2:$D$995,4,FALSE),IFERROR(VLOOKUP(K223,'[2]Other Queries'!$A$2:$E$1000,5,FALSE),IFERROR(VLOOKUP(K223,'[2]Statement Confirmation'!$A$2:$F$1000,6,FALSE),""))))</f>
        <v/>
      </c>
      <c r="Q223" s="117"/>
      <c r="R223" s="51"/>
      <c r="S223" s="52" t="s">
        <v>61</v>
      </c>
      <c r="T223" s="53"/>
      <c r="U223" s="53"/>
      <c r="V223" s="54"/>
      <c r="W223" s="55"/>
      <c r="X223" s="116"/>
      <c r="Y223" s="121"/>
      <c r="Z223" s="122"/>
      <c r="AA223" s="122"/>
      <c r="AB223" s="116"/>
      <c r="AC223" s="121"/>
      <c r="AD223" s="122"/>
      <c r="AE223" s="122"/>
      <c r="AF223" s="116"/>
      <c r="AG223" s="123"/>
    </row>
    <row r="224" spans="1:33" s="15" customFormat="1" ht="25.5" customHeight="1" x14ac:dyDescent="0.3">
      <c r="A224" s="131"/>
      <c r="B224" s="50"/>
      <c r="C224" s="50"/>
      <c r="D224" s="49"/>
      <c r="E224" s="127"/>
      <c r="F224" s="50"/>
      <c r="G224" s="50"/>
      <c r="H224" s="124"/>
      <c r="I224" s="51"/>
      <c r="J224" s="116" t="s">
        <v>61</v>
      </c>
      <c r="K224" s="140"/>
      <c r="L224" s="125"/>
      <c r="M224" s="125"/>
      <c r="N224" s="149"/>
      <c r="O224" s="125"/>
      <c r="P224" s="126" t="str">
        <f>(IFERROR(VLOOKUP(K224,[2]Sampling!$A$2:$D$995,4,FALSE),IFERROR(VLOOKUP(K224,'[2]Other Queries'!$A$2:$E$1000,5,FALSE),IFERROR(VLOOKUP(K224,'[2]Statement Confirmation'!$A$2:$F$1000,6,FALSE),""))))</f>
        <v/>
      </c>
      <c r="Q224" s="117"/>
      <c r="R224" s="51"/>
      <c r="S224" s="52" t="s">
        <v>61</v>
      </c>
      <c r="T224" s="53"/>
      <c r="U224" s="53"/>
      <c r="V224" s="54"/>
      <c r="W224" s="55"/>
      <c r="X224" s="116"/>
      <c r="Y224" s="121"/>
      <c r="Z224" s="122"/>
      <c r="AA224" s="122"/>
      <c r="AB224" s="116"/>
      <c r="AC224" s="121"/>
      <c r="AD224" s="122"/>
      <c r="AE224" s="122"/>
      <c r="AF224" s="116"/>
      <c r="AG224" s="123"/>
    </row>
    <row r="225" spans="1:33" s="15" customFormat="1" ht="25.5" customHeight="1" x14ac:dyDescent="0.3">
      <c r="A225" s="131"/>
      <c r="B225" s="50"/>
      <c r="C225" s="50"/>
      <c r="D225" s="49"/>
      <c r="E225" s="127"/>
      <c r="F225" s="50"/>
      <c r="G225" s="50"/>
      <c r="H225" s="124"/>
      <c r="I225" s="51"/>
      <c r="J225" s="116" t="s">
        <v>61</v>
      </c>
      <c r="K225" s="140"/>
      <c r="L225" s="125"/>
      <c r="M225" s="125"/>
      <c r="N225" s="149"/>
      <c r="O225" s="125"/>
      <c r="P225" s="126" t="str">
        <f>(IFERROR(VLOOKUP(K225,[2]Sampling!$A$2:$D$995,4,FALSE),IFERROR(VLOOKUP(K225,'[2]Other Queries'!$A$2:$E$1000,5,FALSE),IFERROR(VLOOKUP(K225,'[2]Statement Confirmation'!$A$2:$F$1000,6,FALSE),""))))</f>
        <v/>
      </c>
      <c r="Q225" s="117"/>
      <c r="R225" s="51"/>
      <c r="S225" s="52" t="s">
        <v>61</v>
      </c>
      <c r="T225" s="53"/>
      <c r="U225" s="53"/>
      <c r="V225" s="54"/>
      <c r="W225" s="55"/>
      <c r="X225" s="116"/>
      <c r="Y225" s="121"/>
      <c r="Z225" s="122"/>
      <c r="AA225" s="122"/>
      <c r="AB225" s="116"/>
      <c r="AC225" s="121"/>
      <c r="AD225" s="122"/>
      <c r="AE225" s="122"/>
      <c r="AF225" s="116"/>
      <c r="AG225" s="123"/>
    </row>
    <row r="226" spans="1:33" s="15" customFormat="1" ht="25.5" customHeight="1" x14ac:dyDescent="0.3">
      <c r="A226" s="131"/>
      <c r="B226" s="50"/>
      <c r="C226" s="50"/>
      <c r="D226" s="49"/>
      <c r="E226" s="127"/>
      <c r="F226" s="50"/>
      <c r="G226" s="50"/>
      <c r="H226" s="124"/>
      <c r="I226" s="51"/>
      <c r="J226" s="116" t="s">
        <v>61</v>
      </c>
      <c r="K226" s="140"/>
      <c r="L226" s="125"/>
      <c r="M226" s="125"/>
      <c r="N226" s="149"/>
      <c r="O226" s="125"/>
      <c r="P226" s="126" t="str">
        <f>(IFERROR(VLOOKUP(K226,[2]Sampling!$A$2:$D$995,4,FALSE),IFERROR(VLOOKUP(K226,'[2]Other Queries'!$A$2:$E$1000,5,FALSE),IFERROR(VLOOKUP(K226,'[2]Statement Confirmation'!$A$2:$F$1000,6,FALSE),""))))</f>
        <v/>
      </c>
      <c r="Q226" s="117"/>
      <c r="R226" s="51"/>
      <c r="S226" s="52" t="s">
        <v>61</v>
      </c>
      <c r="T226" s="53"/>
      <c r="U226" s="53"/>
      <c r="V226" s="54"/>
      <c r="W226" s="55"/>
      <c r="X226" s="116"/>
      <c r="Y226" s="121"/>
      <c r="Z226" s="122"/>
      <c r="AA226" s="122"/>
      <c r="AB226" s="116"/>
      <c r="AC226" s="121"/>
      <c r="AD226" s="122"/>
      <c r="AE226" s="122"/>
      <c r="AF226" s="116"/>
      <c r="AG226" s="123"/>
    </row>
    <row r="227" spans="1:33" s="15" customFormat="1" ht="25.5" customHeight="1" x14ac:dyDescent="0.3">
      <c r="A227" s="131"/>
      <c r="B227" s="50"/>
      <c r="C227" s="50"/>
      <c r="D227" s="49"/>
      <c r="E227" s="127"/>
      <c r="F227" s="50"/>
      <c r="G227" s="50"/>
      <c r="H227" s="124"/>
      <c r="I227" s="51"/>
      <c r="J227" s="116" t="s">
        <v>61</v>
      </c>
      <c r="K227" s="140"/>
      <c r="L227" s="125"/>
      <c r="M227" s="125"/>
      <c r="N227" s="149"/>
      <c r="O227" s="125"/>
      <c r="P227" s="126" t="str">
        <f>(IFERROR(VLOOKUP(K227,[2]Sampling!$A$2:$D$995,4,FALSE),IFERROR(VLOOKUP(K227,'[2]Other Queries'!$A$2:$E$1000,5,FALSE),IFERROR(VLOOKUP(K227,'[2]Statement Confirmation'!$A$2:$F$1000,6,FALSE),""))))</f>
        <v/>
      </c>
      <c r="Q227" s="117"/>
      <c r="R227" s="51"/>
      <c r="S227" s="52" t="s">
        <v>61</v>
      </c>
      <c r="T227" s="53"/>
      <c r="U227" s="53"/>
      <c r="V227" s="54"/>
      <c r="W227" s="55"/>
      <c r="X227" s="116"/>
      <c r="Y227" s="121"/>
      <c r="Z227" s="122"/>
      <c r="AA227" s="122"/>
      <c r="AB227" s="116"/>
      <c r="AC227" s="121"/>
      <c r="AD227" s="122"/>
      <c r="AE227" s="122"/>
      <c r="AF227" s="116"/>
      <c r="AG227" s="123"/>
    </row>
    <row r="228" spans="1:33" s="15" customFormat="1" ht="25.5" customHeight="1" x14ac:dyDescent="0.3">
      <c r="A228" s="131"/>
      <c r="B228" s="50"/>
      <c r="C228" s="50"/>
      <c r="D228" s="49"/>
      <c r="E228" s="127"/>
      <c r="F228" s="50"/>
      <c r="G228" s="50"/>
      <c r="H228" s="124"/>
      <c r="I228" s="51"/>
      <c r="J228" s="116" t="s">
        <v>61</v>
      </c>
      <c r="K228" s="140"/>
      <c r="L228" s="125"/>
      <c r="M228" s="125"/>
      <c r="N228" s="149"/>
      <c r="O228" s="125"/>
      <c r="P228" s="126" t="str">
        <f>(IFERROR(VLOOKUP(K228,[2]Sampling!$A$2:$D$995,4,FALSE),IFERROR(VLOOKUP(K228,'[2]Other Queries'!$A$2:$E$1000,5,FALSE),IFERROR(VLOOKUP(K228,'[2]Statement Confirmation'!$A$2:$F$1000,6,FALSE),""))))</f>
        <v/>
      </c>
      <c r="Q228" s="117"/>
      <c r="R228" s="51"/>
      <c r="S228" s="52" t="s">
        <v>61</v>
      </c>
      <c r="T228" s="53"/>
      <c r="U228" s="53"/>
      <c r="V228" s="54"/>
      <c r="W228" s="55"/>
      <c r="X228" s="116"/>
      <c r="Y228" s="121"/>
      <c r="Z228" s="122"/>
      <c r="AA228" s="122"/>
      <c r="AB228" s="116"/>
      <c r="AC228" s="121"/>
      <c r="AD228" s="122"/>
      <c r="AE228" s="122"/>
      <c r="AF228" s="116"/>
      <c r="AG228" s="123"/>
    </row>
    <row r="229" spans="1:33" s="15" customFormat="1" ht="25.5" customHeight="1" x14ac:dyDescent="0.3">
      <c r="A229" s="131"/>
      <c r="B229" s="50"/>
      <c r="C229" s="50"/>
      <c r="D229" s="49"/>
      <c r="E229" s="127"/>
      <c r="F229" s="50"/>
      <c r="G229" s="50"/>
      <c r="H229" s="124"/>
      <c r="I229" s="51"/>
      <c r="J229" s="116" t="s">
        <v>61</v>
      </c>
      <c r="K229" s="140"/>
      <c r="L229" s="125"/>
      <c r="M229" s="125"/>
      <c r="N229" s="149"/>
      <c r="O229" s="125"/>
      <c r="P229" s="126" t="str">
        <f>(IFERROR(VLOOKUP(K229,[2]Sampling!$A$2:$D$995,4,FALSE),IFERROR(VLOOKUP(K229,'[2]Other Queries'!$A$2:$E$1000,5,FALSE),IFERROR(VLOOKUP(K229,'[2]Statement Confirmation'!$A$2:$F$1000,6,FALSE),""))))</f>
        <v/>
      </c>
      <c r="Q229" s="117"/>
      <c r="R229" s="51"/>
      <c r="S229" s="52" t="s">
        <v>61</v>
      </c>
      <c r="T229" s="53"/>
      <c r="U229" s="53"/>
      <c r="V229" s="54"/>
      <c r="W229" s="55"/>
      <c r="X229" s="116"/>
      <c r="Y229" s="121"/>
      <c r="Z229" s="122"/>
      <c r="AA229" s="122"/>
      <c r="AB229" s="116"/>
      <c r="AC229" s="121"/>
      <c r="AD229" s="122"/>
      <c r="AE229" s="122"/>
      <c r="AF229" s="116"/>
      <c r="AG229" s="123"/>
    </row>
    <row r="230" spans="1:33" s="15" customFormat="1" ht="25.5" customHeight="1" x14ac:dyDescent="0.3">
      <c r="A230" s="131"/>
      <c r="B230" s="50"/>
      <c r="C230" s="50"/>
      <c r="D230" s="49"/>
      <c r="E230" s="127"/>
      <c r="F230" s="50"/>
      <c r="G230" s="50"/>
      <c r="H230" s="124"/>
      <c r="I230" s="51"/>
      <c r="J230" s="116" t="s">
        <v>61</v>
      </c>
      <c r="K230" s="140"/>
      <c r="L230" s="125"/>
      <c r="M230" s="125"/>
      <c r="N230" s="149"/>
      <c r="O230" s="125"/>
      <c r="P230" s="126" t="str">
        <f>(IFERROR(VLOOKUP(K230,[2]Sampling!$A$2:$D$995,4,FALSE),IFERROR(VLOOKUP(K230,'[2]Other Queries'!$A$2:$E$1000,5,FALSE),IFERROR(VLOOKUP(K230,'[2]Statement Confirmation'!$A$2:$F$1000,6,FALSE),""))))</f>
        <v/>
      </c>
      <c r="Q230" s="117"/>
      <c r="R230" s="51"/>
      <c r="S230" s="52" t="s">
        <v>61</v>
      </c>
      <c r="T230" s="53"/>
      <c r="U230" s="53"/>
      <c r="V230" s="54"/>
      <c r="W230" s="55"/>
      <c r="X230" s="116"/>
      <c r="Y230" s="121"/>
      <c r="Z230" s="122"/>
      <c r="AA230" s="122"/>
      <c r="AB230" s="116"/>
      <c r="AC230" s="121"/>
      <c r="AD230" s="122"/>
      <c r="AE230" s="122"/>
      <c r="AF230" s="116"/>
      <c r="AG230" s="123"/>
    </row>
    <row r="231" spans="1:33" s="15" customFormat="1" ht="25.5" customHeight="1" x14ac:dyDescent="0.3">
      <c r="A231" s="131"/>
      <c r="B231" s="50"/>
      <c r="C231" s="50"/>
      <c r="D231" s="49"/>
      <c r="E231" s="127"/>
      <c r="F231" s="50"/>
      <c r="G231" s="50"/>
      <c r="H231" s="124"/>
      <c r="I231" s="51"/>
      <c r="J231" s="116" t="s">
        <v>61</v>
      </c>
      <c r="K231" s="140"/>
      <c r="L231" s="125"/>
      <c r="M231" s="125"/>
      <c r="N231" s="149"/>
      <c r="O231" s="125"/>
      <c r="P231" s="126" t="str">
        <f>(IFERROR(VLOOKUP(K231,[2]Sampling!$A$2:$D$995,4,FALSE),IFERROR(VLOOKUP(K231,'[2]Other Queries'!$A$2:$E$1000,5,FALSE),IFERROR(VLOOKUP(K231,'[2]Statement Confirmation'!$A$2:$F$1000,6,FALSE),""))))</f>
        <v/>
      </c>
      <c r="Q231" s="117"/>
      <c r="R231" s="51"/>
      <c r="S231" s="52" t="s">
        <v>61</v>
      </c>
      <c r="T231" s="53"/>
      <c r="U231" s="53"/>
      <c r="V231" s="54"/>
      <c r="W231" s="55"/>
      <c r="X231" s="116"/>
      <c r="Y231" s="121"/>
      <c r="Z231" s="122"/>
      <c r="AA231" s="122"/>
      <c r="AB231" s="116"/>
      <c r="AC231" s="121"/>
      <c r="AD231" s="122"/>
      <c r="AE231" s="122"/>
      <c r="AF231" s="116"/>
      <c r="AG231" s="123"/>
    </row>
    <row r="232" spans="1:33" s="15" customFormat="1" ht="25.5" customHeight="1" x14ac:dyDescent="0.3">
      <c r="A232" s="131"/>
      <c r="B232" s="50"/>
      <c r="C232" s="50"/>
      <c r="D232" s="49"/>
      <c r="E232" s="127"/>
      <c r="F232" s="50"/>
      <c r="G232" s="50"/>
      <c r="H232" s="124"/>
      <c r="I232" s="51"/>
      <c r="J232" s="116" t="s">
        <v>61</v>
      </c>
      <c r="K232" s="140"/>
      <c r="L232" s="125"/>
      <c r="M232" s="125"/>
      <c r="N232" s="149"/>
      <c r="O232" s="125"/>
      <c r="P232" s="126" t="str">
        <f>(IFERROR(VLOOKUP(K232,[2]Sampling!$A$2:$D$995,4,FALSE),IFERROR(VLOOKUP(K232,'[2]Other Queries'!$A$2:$E$1000,5,FALSE),IFERROR(VLOOKUP(K232,'[2]Statement Confirmation'!$A$2:$F$1000,6,FALSE),""))))</f>
        <v/>
      </c>
      <c r="Q232" s="117"/>
      <c r="R232" s="51"/>
      <c r="S232" s="52" t="s">
        <v>61</v>
      </c>
      <c r="T232" s="53"/>
      <c r="U232" s="53"/>
      <c r="V232" s="54"/>
      <c r="W232" s="55"/>
      <c r="X232" s="116"/>
      <c r="Y232" s="121"/>
      <c r="Z232" s="122"/>
      <c r="AA232" s="122"/>
      <c r="AB232" s="116"/>
      <c r="AC232" s="121"/>
      <c r="AD232" s="122"/>
      <c r="AE232" s="122"/>
      <c r="AF232" s="116"/>
      <c r="AG232" s="123"/>
    </row>
    <row r="233" spans="1:33" s="15" customFormat="1" ht="25.5" customHeight="1" x14ac:dyDescent="0.3">
      <c r="A233" s="131"/>
      <c r="B233" s="50"/>
      <c r="C233" s="50"/>
      <c r="D233" s="49"/>
      <c r="E233" s="127"/>
      <c r="F233" s="50"/>
      <c r="G233" s="50"/>
      <c r="H233" s="124"/>
      <c r="I233" s="51"/>
      <c r="J233" s="116" t="s">
        <v>61</v>
      </c>
      <c r="K233" s="140"/>
      <c r="L233" s="125"/>
      <c r="M233" s="125"/>
      <c r="N233" s="149"/>
      <c r="O233" s="125"/>
      <c r="P233" s="126" t="str">
        <f>(IFERROR(VLOOKUP(K233,[2]Sampling!$A$2:$D$995,4,FALSE),IFERROR(VLOOKUP(K233,'[2]Other Queries'!$A$2:$E$1000,5,FALSE),IFERROR(VLOOKUP(K233,'[2]Statement Confirmation'!$A$2:$F$1000,6,FALSE),""))))</f>
        <v/>
      </c>
      <c r="Q233" s="117"/>
      <c r="R233" s="51"/>
      <c r="S233" s="52" t="s">
        <v>61</v>
      </c>
      <c r="T233" s="53"/>
      <c r="U233" s="53"/>
      <c r="V233" s="54"/>
      <c r="W233" s="55"/>
      <c r="X233" s="116"/>
      <c r="Y233" s="121"/>
      <c r="Z233" s="122"/>
      <c r="AA233" s="122"/>
      <c r="AB233" s="116"/>
      <c r="AC233" s="121"/>
      <c r="AD233" s="122"/>
      <c r="AE233" s="122"/>
      <c r="AF233" s="116"/>
      <c r="AG233" s="123"/>
    </row>
    <row r="234" spans="1:33" s="15" customFormat="1" ht="25.5" customHeight="1" x14ac:dyDescent="0.3">
      <c r="A234" s="131"/>
      <c r="B234" s="50"/>
      <c r="C234" s="50"/>
      <c r="D234" s="49"/>
      <c r="E234" s="127"/>
      <c r="F234" s="50"/>
      <c r="G234" s="50"/>
      <c r="H234" s="124"/>
      <c r="I234" s="51"/>
      <c r="J234" s="116" t="s">
        <v>61</v>
      </c>
      <c r="K234" s="140"/>
      <c r="L234" s="125"/>
      <c r="M234" s="125"/>
      <c r="N234" s="149"/>
      <c r="O234" s="125"/>
      <c r="P234" s="126" t="str">
        <f>(IFERROR(VLOOKUP(K234,[2]Sampling!$A$2:$D$995,4,FALSE),IFERROR(VLOOKUP(K234,'[2]Other Queries'!$A$2:$E$1000,5,FALSE),IFERROR(VLOOKUP(K234,'[2]Statement Confirmation'!$A$2:$F$1000,6,FALSE),""))))</f>
        <v/>
      </c>
      <c r="Q234" s="117"/>
      <c r="R234" s="51"/>
      <c r="S234" s="52" t="s">
        <v>61</v>
      </c>
      <c r="T234" s="53"/>
      <c r="U234" s="53"/>
      <c r="V234" s="54"/>
      <c r="W234" s="55"/>
      <c r="X234" s="116"/>
      <c r="Y234" s="121"/>
      <c r="Z234" s="122"/>
      <c r="AA234" s="122"/>
      <c r="AB234" s="116"/>
      <c r="AC234" s="121"/>
      <c r="AD234" s="122"/>
      <c r="AE234" s="122"/>
      <c r="AF234" s="116"/>
      <c r="AG234" s="123"/>
    </row>
    <row r="235" spans="1:33" s="15" customFormat="1" ht="25.5" customHeight="1" x14ac:dyDescent="0.3">
      <c r="A235" s="131"/>
      <c r="B235" s="50"/>
      <c r="C235" s="50"/>
      <c r="D235" s="49"/>
      <c r="E235" s="127"/>
      <c r="F235" s="50"/>
      <c r="G235" s="50"/>
      <c r="H235" s="124"/>
      <c r="I235" s="51"/>
      <c r="J235" s="116" t="s">
        <v>61</v>
      </c>
      <c r="K235" s="140"/>
      <c r="L235" s="125"/>
      <c r="M235" s="125"/>
      <c r="N235" s="149"/>
      <c r="O235" s="125"/>
      <c r="P235" s="126" t="str">
        <f>(IFERROR(VLOOKUP(K235,[2]Sampling!$A$2:$D$995,4,FALSE),IFERROR(VLOOKUP(K235,'[2]Other Queries'!$A$2:$E$1000,5,FALSE),IFERROR(VLOOKUP(K235,'[2]Statement Confirmation'!$A$2:$F$1000,6,FALSE),""))))</f>
        <v/>
      </c>
      <c r="Q235" s="117"/>
      <c r="R235" s="51"/>
      <c r="S235" s="52" t="s">
        <v>61</v>
      </c>
      <c r="T235" s="53"/>
      <c r="U235" s="53"/>
      <c r="V235" s="54"/>
      <c r="W235" s="55"/>
      <c r="X235" s="116"/>
      <c r="Y235" s="121"/>
      <c r="Z235" s="122"/>
      <c r="AA235" s="122"/>
      <c r="AB235" s="116"/>
      <c r="AC235" s="121"/>
      <c r="AD235" s="122"/>
      <c r="AE235" s="122"/>
      <c r="AF235" s="116"/>
      <c r="AG235" s="123"/>
    </row>
    <row r="236" spans="1:33" s="15" customFormat="1" ht="25.5" customHeight="1" x14ac:dyDescent="0.3">
      <c r="A236" s="131"/>
      <c r="B236" s="50"/>
      <c r="C236" s="50"/>
      <c r="D236" s="49"/>
      <c r="E236" s="127"/>
      <c r="F236" s="50"/>
      <c r="G236" s="50"/>
      <c r="H236" s="124"/>
      <c r="I236" s="51"/>
      <c r="J236" s="116" t="s">
        <v>61</v>
      </c>
      <c r="K236" s="140"/>
      <c r="L236" s="125"/>
      <c r="M236" s="125"/>
      <c r="N236" s="149"/>
      <c r="O236" s="125"/>
      <c r="P236" s="126" t="str">
        <f>(IFERROR(VLOOKUP(K236,[2]Sampling!$A$2:$D$995,4,FALSE),IFERROR(VLOOKUP(K236,'[2]Other Queries'!$A$2:$E$1000,5,FALSE),IFERROR(VLOOKUP(K236,'[2]Statement Confirmation'!$A$2:$F$1000,6,FALSE),""))))</f>
        <v/>
      </c>
      <c r="Q236" s="117"/>
      <c r="R236" s="51"/>
      <c r="S236" s="52" t="s">
        <v>61</v>
      </c>
      <c r="T236" s="53"/>
      <c r="U236" s="53"/>
      <c r="V236" s="54"/>
      <c r="W236" s="55"/>
      <c r="X236" s="116"/>
      <c r="Y236" s="121"/>
      <c r="Z236" s="122"/>
      <c r="AA236" s="122"/>
      <c r="AB236" s="116"/>
      <c r="AC236" s="121"/>
      <c r="AD236" s="122"/>
      <c r="AE236" s="122"/>
      <c r="AF236" s="116"/>
      <c r="AG236" s="123"/>
    </row>
    <row r="237" spans="1:33" s="15" customFormat="1" ht="25.5" customHeight="1" x14ac:dyDescent="0.3">
      <c r="A237" s="131"/>
      <c r="B237" s="50"/>
      <c r="C237" s="50"/>
      <c r="D237" s="49"/>
      <c r="E237" s="127"/>
      <c r="F237" s="50"/>
      <c r="G237" s="50"/>
      <c r="H237" s="124"/>
      <c r="I237" s="51"/>
      <c r="J237" s="116" t="s">
        <v>61</v>
      </c>
      <c r="K237" s="140"/>
      <c r="L237" s="125"/>
      <c r="M237" s="125"/>
      <c r="N237" s="149"/>
      <c r="O237" s="125"/>
      <c r="P237" s="126" t="str">
        <f>(IFERROR(VLOOKUP(K237,[2]Sampling!$A$2:$D$995,4,FALSE),IFERROR(VLOOKUP(K237,'[2]Other Queries'!$A$2:$E$1000,5,FALSE),IFERROR(VLOOKUP(K237,'[2]Statement Confirmation'!$A$2:$F$1000,6,FALSE),""))))</f>
        <v/>
      </c>
      <c r="Q237" s="117"/>
      <c r="R237" s="51"/>
      <c r="S237" s="52" t="s">
        <v>61</v>
      </c>
      <c r="T237" s="53"/>
      <c r="U237" s="53"/>
      <c r="V237" s="54"/>
      <c r="W237" s="55"/>
      <c r="X237" s="116"/>
      <c r="Y237" s="121"/>
      <c r="Z237" s="122"/>
      <c r="AA237" s="122"/>
      <c r="AB237" s="116"/>
      <c r="AC237" s="121"/>
      <c r="AD237" s="122"/>
      <c r="AE237" s="122"/>
      <c r="AF237" s="116"/>
      <c r="AG237" s="123"/>
    </row>
    <row r="238" spans="1:33" s="15" customFormat="1" ht="25.5" customHeight="1" x14ac:dyDescent="0.3">
      <c r="A238" s="131"/>
      <c r="B238" s="50"/>
      <c r="C238" s="50"/>
      <c r="D238" s="49"/>
      <c r="E238" s="127"/>
      <c r="F238" s="50"/>
      <c r="G238" s="50"/>
      <c r="H238" s="124"/>
      <c r="I238" s="51"/>
      <c r="J238" s="116" t="s">
        <v>61</v>
      </c>
      <c r="K238" s="140"/>
      <c r="L238" s="125"/>
      <c r="M238" s="125"/>
      <c r="N238" s="149"/>
      <c r="O238" s="125"/>
      <c r="P238" s="126" t="str">
        <f>(IFERROR(VLOOKUP(K238,[2]Sampling!$A$2:$D$995,4,FALSE),IFERROR(VLOOKUP(K238,'[2]Other Queries'!$A$2:$E$1000,5,FALSE),IFERROR(VLOOKUP(K238,'[2]Statement Confirmation'!$A$2:$F$1000,6,FALSE),""))))</f>
        <v/>
      </c>
      <c r="Q238" s="117"/>
      <c r="R238" s="51"/>
      <c r="S238" s="52" t="s">
        <v>61</v>
      </c>
      <c r="T238" s="53"/>
      <c r="U238" s="53"/>
      <c r="V238" s="54"/>
      <c r="W238" s="55"/>
      <c r="X238" s="116"/>
      <c r="Y238" s="121"/>
      <c r="Z238" s="122"/>
      <c r="AA238" s="122"/>
      <c r="AB238" s="116"/>
      <c r="AC238" s="121"/>
      <c r="AD238" s="122"/>
      <c r="AE238" s="122"/>
      <c r="AF238" s="116"/>
      <c r="AG238" s="123"/>
    </row>
    <row r="239" spans="1:33" s="15" customFormat="1" ht="25.5" customHeight="1" x14ac:dyDescent="0.3">
      <c r="A239" s="131"/>
      <c r="B239" s="50"/>
      <c r="C239" s="50"/>
      <c r="D239" s="49"/>
      <c r="E239" s="127"/>
      <c r="F239" s="50"/>
      <c r="G239" s="50"/>
      <c r="H239" s="124"/>
      <c r="I239" s="51"/>
      <c r="J239" s="116" t="s">
        <v>61</v>
      </c>
      <c r="K239" s="140"/>
      <c r="L239" s="125"/>
      <c r="M239" s="125"/>
      <c r="N239" s="149"/>
      <c r="O239" s="125"/>
      <c r="P239" s="126" t="str">
        <f>(IFERROR(VLOOKUP(K239,[2]Sampling!$A$2:$D$995,4,FALSE),IFERROR(VLOOKUP(K239,'[2]Other Queries'!$A$2:$E$1000,5,FALSE),IFERROR(VLOOKUP(K239,'[2]Statement Confirmation'!$A$2:$F$1000,6,FALSE),""))))</f>
        <v/>
      </c>
      <c r="Q239" s="117"/>
      <c r="R239" s="51"/>
      <c r="S239" s="52" t="s">
        <v>61</v>
      </c>
      <c r="T239" s="53"/>
      <c r="U239" s="53"/>
      <c r="V239" s="54"/>
      <c r="W239" s="55"/>
      <c r="X239" s="116"/>
      <c r="Y239" s="121"/>
      <c r="Z239" s="122"/>
      <c r="AA239" s="122"/>
      <c r="AB239" s="116"/>
      <c r="AC239" s="121"/>
      <c r="AD239" s="122"/>
      <c r="AE239" s="122"/>
      <c r="AF239" s="116"/>
      <c r="AG239" s="123"/>
    </row>
    <row r="240" spans="1:33" s="15" customFormat="1" ht="25.5" customHeight="1" x14ac:dyDescent="0.3">
      <c r="A240" s="131"/>
      <c r="B240" s="50"/>
      <c r="C240" s="50"/>
      <c r="D240" s="49"/>
      <c r="E240" s="127"/>
      <c r="F240" s="50"/>
      <c r="G240" s="50"/>
      <c r="H240" s="124"/>
      <c r="I240" s="51"/>
      <c r="J240" s="116" t="s">
        <v>61</v>
      </c>
      <c r="K240" s="140"/>
      <c r="L240" s="125"/>
      <c r="M240" s="125"/>
      <c r="N240" s="149"/>
      <c r="O240" s="125"/>
      <c r="P240" s="126" t="str">
        <f>(IFERROR(VLOOKUP(K240,[2]Sampling!$A$2:$D$995,4,FALSE),IFERROR(VLOOKUP(K240,'[2]Other Queries'!$A$2:$E$1000,5,FALSE),IFERROR(VLOOKUP(K240,'[2]Statement Confirmation'!$A$2:$F$1000,6,FALSE),""))))</f>
        <v/>
      </c>
      <c r="Q240" s="117"/>
      <c r="R240" s="51"/>
      <c r="S240" s="52" t="s">
        <v>61</v>
      </c>
      <c r="T240" s="53"/>
      <c r="U240" s="53"/>
      <c r="V240" s="54"/>
      <c r="W240" s="55"/>
      <c r="X240" s="116"/>
      <c r="Y240" s="121"/>
      <c r="Z240" s="122"/>
      <c r="AA240" s="122"/>
      <c r="AB240" s="116"/>
      <c r="AC240" s="121"/>
      <c r="AD240" s="122"/>
      <c r="AE240" s="122"/>
      <c r="AF240" s="116"/>
      <c r="AG240" s="123"/>
    </row>
    <row r="241" spans="1:33" s="15" customFormat="1" ht="25.5" customHeight="1" x14ac:dyDescent="0.3">
      <c r="A241" s="131"/>
      <c r="B241" s="50"/>
      <c r="C241" s="50"/>
      <c r="D241" s="49"/>
      <c r="E241" s="127"/>
      <c r="F241" s="50"/>
      <c r="G241" s="50"/>
      <c r="H241" s="124"/>
      <c r="I241" s="51"/>
      <c r="J241" s="116" t="s">
        <v>61</v>
      </c>
      <c r="K241" s="140"/>
      <c r="L241" s="125"/>
      <c r="M241" s="125"/>
      <c r="N241" s="149"/>
      <c r="O241" s="125"/>
      <c r="P241" s="126" t="str">
        <f>(IFERROR(VLOOKUP(K241,[2]Sampling!$A$2:$D$995,4,FALSE),IFERROR(VLOOKUP(K241,'[2]Other Queries'!$A$2:$E$1000,5,FALSE),IFERROR(VLOOKUP(K241,'[2]Statement Confirmation'!$A$2:$F$1000,6,FALSE),""))))</f>
        <v/>
      </c>
      <c r="Q241" s="117"/>
      <c r="R241" s="51"/>
      <c r="S241" s="52" t="s">
        <v>61</v>
      </c>
      <c r="T241" s="53"/>
      <c r="U241" s="53"/>
      <c r="V241" s="54"/>
      <c r="W241" s="55"/>
      <c r="X241" s="116"/>
      <c r="Y241" s="121"/>
      <c r="Z241" s="122"/>
      <c r="AA241" s="122"/>
      <c r="AB241" s="116"/>
      <c r="AC241" s="121"/>
      <c r="AD241" s="122"/>
      <c r="AE241" s="122"/>
      <c r="AF241" s="116"/>
      <c r="AG241" s="123"/>
    </row>
    <row r="242" spans="1:33" s="15" customFormat="1" ht="25.5" customHeight="1" x14ac:dyDescent="0.3">
      <c r="A242" s="131"/>
      <c r="B242" s="50"/>
      <c r="C242" s="50"/>
      <c r="D242" s="49"/>
      <c r="E242" s="127"/>
      <c r="F242" s="50"/>
      <c r="G242" s="50"/>
      <c r="H242" s="124"/>
      <c r="I242" s="51"/>
      <c r="J242" s="116" t="s">
        <v>61</v>
      </c>
      <c r="K242" s="140"/>
      <c r="L242" s="125"/>
      <c r="M242" s="125"/>
      <c r="N242" s="149"/>
      <c r="O242" s="125"/>
      <c r="P242" s="126" t="str">
        <f>(IFERROR(VLOOKUP(K242,[2]Sampling!$A$2:$D$995,4,FALSE),IFERROR(VLOOKUP(K242,'[2]Other Queries'!$A$2:$E$1000,5,FALSE),IFERROR(VLOOKUP(K242,'[2]Statement Confirmation'!$A$2:$F$1000,6,FALSE),""))))</f>
        <v/>
      </c>
      <c r="Q242" s="117"/>
      <c r="R242" s="51"/>
      <c r="S242" s="52" t="s">
        <v>61</v>
      </c>
      <c r="T242" s="53"/>
      <c r="U242" s="53"/>
      <c r="V242" s="54"/>
      <c r="W242" s="55"/>
      <c r="X242" s="116"/>
      <c r="Y242" s="121"/>
      <c r="Z242" s="122"/>
      <c r="AA242" s="122"/>
      <c r="AB242" s="116"/>
      <c r="AC242" s="121"/>
      <c r="AD242" s="122"/>
      <c r="AE242" s="122"/>
      <c r="AF242" s="116"/>
      <c r="AG242" s="123"/>
    </row>
    <row r="243" spans="1:33" s="15" customFormat="1" ht="25.5" customHeight="1" x14ac:dyDescent="0.3">
      <c r="A243" s="131"/>
      <c r="B243" s="50"/>
      <c r="C243" s="50"/>
      <c r="D243" s="49"/>
      <c r="E243" s="127"/>
      <c r="F243" s="50"/>
      <c r="G243" s="50"/>
      <c r="H243" s="124"/>
      <c r="I243" s="51"/>
      <c r="J243" s="116" t="s">
        <v>61</v>
      </c>
      <c r="K243" s="140"/>
      <c r="L243" s="125"/>
      <c r="M243" s="125"/>
      <c r="N243" s="149"/>
      <c r="O243" s="125"/>
      <c r="P243" s="126" t="str">
        <f>(IFERROR(VLOOKUP(K243,[2]Sampling!$A$2:$D$995,4,FALSE),IFERROR(VLOOKUP(K243,'[2]Other Queries'!$A$2:$E$1000,5,FALSE),IFERROR(VLOOKUP(K243,'[2]Statement Confirmation'!$A$2:$F$1000,6,FALSE),""))))</f>
        <v/>
      </c>
      <c r="Q243" s="117"/>
      <c r="R243" s="51"/>
      <c r="S243" s="52" t="s">
        <v>61</v>
      </c>
      <c r="T243" s="53"/>
      <c r="U243" s="53"/>
      <c r="V243" s="54"/>
      <c r="W243" s="55"/>
      <c r="X243" s="116"/>
      <c r="Y243" s="121"/>
      <c r="Z243" s="122"/>
      <c r="AA243" s="122"/>
      <c r="AB243" s="116"/>
      <c r="AC243" s="121"/>
      <c r="AD243" s="122"/>
      <c r="AE243" s="122"/>
      <c r="AF243" s="116"/>
      <c r="AG243" s="123"/>
    </row>
    <row r="244" spans="1:33" s="15" customFormat="1" ht="25.5" customHeight="1" x14ac:dyDescent="0.3">
      <c r="A244" s="131"/>
      <c r="B244" s="50"/>
      <c r="C244" s="50"/>
      <c r="D244" s="49"/>
      <c r="E244" s="127"/>
      <c r="F244" s="50"/>
      <c r="G244" s="50"/>
      <c r="H244" s="124"/>
      <c r="I244" s="51"/>
      <c r="J244" s="116" t="s">
        <v>61</v>
      </c>
      <c r="K244" s="140"/>
      <c r="L244" s="125"/>
      <c r="M244" s="125"/>
      <c r="N244" s="149"/>
      <c r="O244" s="125"/>
      <c r="P244" s="126" t="str">
        <f>(IFERROR(VLOOKUP(K244,[2]Sampling!$A$2:$D$995,4,FALSE),IFERROR(VLOOKUP(K244,'[2]Other Queries'!$A$2:$E$1000,5,FALSE),IFERROR(VLOOKUP(K244,'[2]Statement Confirmation'!$A$2:$F$1000,6,FALSE),""))))</f>
        <v/>
      </c>
      <c r="Q244" s="117"/>
      <c r="R244" s="51"/>
      <c r="S244" s="52" t="s">
        <v>61</v>
      </c>
      <c r="T244" s="53"/>
      <c r="U244" s="53"/>
      <c r="V244" s="54"/>
      <c r="W244" s="55"/>
      <c r="X244" s="116"/>
      <c r="Y244" s="121"/>
      <c r="Z244" s="122"/>
      <c r="AA244" s="122"/>
      <c r="AB244" s="116"/>
      <c r="AC244" s="121"/>
      <c r="AD244" s="122"/>
      <c r="AE244" s="122"/>
      <c r="AF244" s="116"/>
      <c r="AG244" s="123"/>
    </row>
    <row r="245" spans="1:33" s="15" customFormat="1" ht="25.5" customHeight="1" x14ac:dyDescent="0.3">
      <c r="A245" s="131"/>
      <c r="B245" s="50"/>
      <c r="C245" s="50"/>
      <c r="D245" s="49"/>
      <c r="E245" s="127"/>
      <c r="F245" s="50"/>
      <c r="G245" s="50"/>
      <c r="H245" s="124"/>
      <c r="I245" s="51"/>
      <c r="J245" s="116" t="s">
        <v>61</v>
      </c>
      <c r="K245" s="140"/>
      <c r="L245" s="125"/>
      <c r="M245" s="125"/>
      <c r="N245" s="149"/>
      <c r="O245" s="125"/>
      <c r="P245" s="126" t="str">
        <f>(IFERROR(VLOOKUP(K245,[2]Sampling!$A$2:$D$995,4,FALSE),IFERROR(VLOOKUP(K245,'[2]Other Queries'!$A$2:$E$1000,5,FALSE),IFERROR(VLOOKUP(K245,'[2]Statement Confirmation'!$A$2:$F$1000,6,FALSE),""))))</f>
        <v/>
      </c>
      <c r="Q245" s="117"/>
      <c r="R245" s="51"/>
      <c r="S245" s="52" t="s">
        <v>61</v>
      </c>
      <c r="T245" s="53"/>
      <c r="U245" s="53"/>
      <c r="V245" s="54"/>
      <c r="W245" s="55"/>
      <c r="X245" s="116"/>
      <c r="Y245" s="121"/>
      <c r="Z245" s="122"/>
      <c r="AA245" s="122"/>
      <c r="AB245" s="116"/>
      <c r="AC245" s="121"/>
      <c r="AD245" s="122"/>
      <c r="AE245" s="122"/>
      <c r="AF245" s="116"/>
      <c r="AG245" s="123"/>
    </row>
    <row r="246" spans="1:33" s="15" customFormat="1" ht="25.5" customHeight="1" x14ac:dyDescent="0.3">
      <c r="A246" s="131"/>
      <c r="B246" s="50"/>
      <c r="C246" s="50"/>
      <c r="D246" s="49"/>
      <c r="E246" s="127"/>
      <c r="F246" s="50"/>
      <c r="G246" s="50"/>
      <c r="H246" s="124"/>
      <c r="I246" s="51"/>
      <c r="J246" s="116" t="s">
        <v>61</v>
      </c>
      <c r="K246" s="140"/>
      <c r="L246" s="125"/>
      <c r="M246" s="125"/>
      <c r="N246" s="149"/>
      <c r="O246" s="125"/>
      <c r="P246" s="126" t="str">
        <f>(IFERROR(VLOOKUP(K246,[2]Sampling!$A$2:$D$995,4,FALSE),IFERROR(VLOOKUP(K246,'[2]Other Queries'!$A$2:$E$1000,5,FALSE),IFERROR(VLOOKUP(K246,'[2]Statement Confirmation'!$A$2:$F$1000,6,FALSE),""))))</f>
        <v/>
      </c>
      <c r="Q246" s="117"/>
      <c r="R246" s="51"/>
      <c r="S246" s="52" t="s">
        <v>61</v>
      </c>
      <c r="T246" s="53"/>
      <c r="U246" s="53"/>
      <c r="V246" s="54"/>
      <c r="W246" s="55"/>
      <c r="X246" s="116"/>
      <c r="Y246" s="121"/>
      <c r="Z246" s="122"/>
      <c r="AA246" s="122"/>
      <c r="AB246" s="116"/>
      <c r="AC246" s="121"/>
      <c r="AD246" s="122"/>
      <c r="AE246" s="122"/>
      <c r="AF246" s="116"/>
      <c r="AG246" s="123"/>
    </row>
    <row r="247" spans="1:33" s="15" customFormat="1" ht="25.5" customHeight="1" x14ac:dyDescent="0.3">
      <c r="A247" s="131"/>
      <c r="B247" s="50"/>
      <c r="C247" s="50"/>
      <c r="D247" s="49"/>
      <c r="E247" s="127"/>
      <c r="F247" s="50"/>
      <c r="G247" s="50"/>
      <c r="H247" s="124"/>
      <c r="I247" s="51"/>
      <c r="J247" s="116" t="s">
        <v>61</v>
      </c>
      <c r="K247" s="140"/>
      <c r="L247" s="125"/>
      <c r="M247" s="125"/>
      <c r="N247" s="149"/>
      <c r="O247" s="125"/>
      <c r="P247" s="126" t="str">
        <f>(IFERROR(VLOOKUP(K247,[2]Sampling!$A$2:$D$995,4,FALSE),IFERROR(VLOOKUP(K247,'[2]Other Queries'!$A$2:$E$1000,5,FALSE),IFERROR(VLOOKUP(K247,'[2]Statement Confirmation'!$A$2:$F$1000,6,FALSE),""))))</f>
        <v/>
      </c>
      <c r="Q247" s="117"/>
      <c r="R247" s="51"/>
      <c r="S247" s="52" t="s">
        <v>61</v>
      </c>
      <c r="T247" s="53"/>
      <c r="U247" s="53"/>
      <c r="V247" s="54"/>
      <c r="W247" s="55"/>
      <c r="X247" s="116"/>
      <c r="Y247" s="121"/>
      <c r="Z247" s="122"/>
      <c r="AA247" s="122"/>
      <c r="AB247" s="116"/>
      <c r="AC247" s="121"/>
      <c r="AD247" s="122"/>
      <c r="AE247" s="122"/>
      <c r="AF247" s="116"/>
      <c r="AG247" s="123"/>
    </row>
    <row r="248" spans="1:33" s="15" customFormat="1" ht="25.5" customHeight="1" x14ac:dyDescent="0.3">
      <c r="A248" s="131"/>
      <c r="B248" s="50"/>
      <c r="C248" s="50"/>
      <c r="D248" s="49"/>
      <c r="E248" s="127"/>
      <c r="F248" s="50"/>
      <c r="G248" s="50"/>
      <c r="H248" s="124"/>
      <c r="I248" s="51"/>
      <c r="J248" s="116" t="s">
        <v>61</v>
      </c>
      <c r="K248" s="140"/>
      <c r="L248" s="125"/>
      <c r="M248" s="125"/>
      <c r="N248" s="149"/>
      <c r="O248" s="125"/>
      <c r="P248" s="126" t="str">
        <f>(IFERROR(VLOOKUP(K248,[2]Sampling!$A$2:$D$995,4,FALSE),IFERROR(VLOOKUP(K248,'[2]Other Queries'!$A$2:$E$1000,5,FALSE),IFERROR(VLOOKUP(K248,'[2]Statement Confirmation'!$A$2:$F$1000,6,FALSE),""))))</f>
        <v/>
      </c>
      <c r="Q248" s="117"/>
      <c r="R248" s="51"/>
      <c r="S248" s="52" t="s">
        <v>61</v>
      </c>
      <c r="T248" s="53"/>
      <c r="U248" s="53"/>
      <c r="V248" s="54"/>
      <c r="W248" s="55"/>
      <c r="X248" s="116"/>
      <c r="Y248" s="121"/>
      <c r="Z248" s="122"/>
      <c r="AA248" s="122"/>
      <c r="AB248" s="116"/>
      <c r="AC248" s="121"/>
      <c r="AD248" s="122"/>
      <c r="AE248" s="122"/>
      <c r="AF248" s="116"/>
      <c r="AG248" s="123"/>
    </row>
    <row r="249" spans="1:33" s="15" customFormat="1" ht="25.5" customHeight="1" x14ac:dyDescent="0.3">
      <c r="A249" s="131"/>
      <c r="B249" s="50"/>
      <c r="C249" s="50"/>
      <c r="D249" s="49"/>
      <c r="E249" s="127"/>
      <c r="F249" s="50"/>
      <c r="G249" s="50"/>
      <c r="H249" s="124"/>
      <c r="I249" s="51"/>
      <c r="J249" s="116" t="s">
        <v>61</v>
      </c>
      <c r="K249" s="140"/>
      <c r="L249" s="125"/>
      <c r="M249" s="125"/>
      <c r="N249" s="149"/>
      <c r="O249" s="125"/>
      <c r="P249" s="126" t="str">
        <f>(IFERROR(VLOOKUP(K249,[2]Sampling!$A$2:$D$995,4,FALSE),IFERROR(VLOOKUP(K249,'[2]Other Queries'!$A$2:$E$1000,5,FALSE),IFERROR(VLOOKUP(K249,'[2]Statement Confirmation'!$A$2:$F$1000,6,FALSE),""))))</f>
        <v/>
      </c>
      <c r="Q249" s="117"/>
      <c r="R249" s="51"/>
      <c r="S249" s="52" t="s">
        <v>61</v>
      </c>
      <c r="T249" s="53"/>
      <c r="U249" s="53"/>
      <c r="V249" s="54"/>
      <c r="W249" s="55"/>
      <c r="X249" s="116"/>
      <c r="Y249" s="121"/>
      <c r="Z249" s="122"/>
      <c r="AA249" s="122"/>
      <c r="AB249" s="116"/>
      <c r="AC249" s="121"/>
      <c r="AD249" s="122"/>
      <c r="AE249" s="122"/>
      <c r="AF249" s="116"/>
      <c r="AG249" s="123"/>
    </row>
    <row r="250" spans="1:33" s="15" customFormat="1" ht="25.5" customHeight="1" x14ac:dyDescent="0.3">
      <c r="A250" s="131"/>
      <c r="B250" s="50"/>
      <c r="C250" s="50"/>
      <c r="D250" s="49"/>
      <c r="E250" s="127"/>
      <c r="F250" s="50"/>
      <c r="G250" s="50"/>
      <c r="H250" s="124"/>
      <c r="I250" s="51"/>
      <c r="J250" s="116" t="s">
        <v>61</v>
      </c>
      <c r="K250" s="140"/>
      <c r="L250" s="125"/>
      <c r="M250" s="125"/>
      <c r="N250" s="149"/>
      <c r="O250" s="125"/>
      <c r="P250" s="126" t="str">
        <f>(IFERROR(VLOOKUP(K250,[2]Sampling!$A$2:$D$995,4,FALSE),IFERROR(VLOOKUP(K250,'[2]Other Queries'!$A$2:$E$1000,5,FALSE),IFERROR(VLOOKUP(K250,'[2]Statement Confirmation'!$A$2:$F$1000,6,FALSE),""))))</f>
        <v/>
      </c>
      <c r="Q250" s="117"/>
      <c r="R250" s="51"/>
      <c r="S250" s="52" t="s">
        <v>61</v>
      </c>
      <c r="T250" s="53"/>
      <c r="U250" s="53"/>
      <c r="V250" s="54"/>
      <c r="W250" s="55"/>
      <c r="X250" s="116"/>
      <c r="Y250" s="121"/>
      <c r="Z250" s="122"/>
      <c r="AA250" s="122"/>
      <c r="AB250" s="116"/>
      <c r="AC250" s="121"/>
      <c r="AD250" s="122"/>
      <c r="AE250" s="122"/>
      <c r="AF250" s="116"/>
      <c r="AG250" s="123"/>
    </row>
    <row r="251" spans="1:33" s="15" customFormat="1" ht="25.5" customHeight="1" x14ac:dyDescent="0.3">
      <c r="A251" s="131"/>
      <c r="B251" s="50"/>
      <c r="C251" s="50"/>
      <c r="D251" s="49"/>
      <c r="E251" s="127"/>
      <c r="F251" s="50"/>
      <c r="G251" s="50"/>
      <c r="H251" s="124"/>
      <c r="I251" s="51"/>
      <c r="J251" s="116" t="s">
        <v>61</v>
      </c>
      <c r="K251" s="140"/>
      <c r="L251" s="125"/>
      <c r="M251" s="125"/>
      <c r="N251" s="149"/>
      <c r="O251" s="125"/>
      <c r="P251" s="126" t="str">
        <f>(IFERROR(VLOOKUP(K251,[2]Sampling!$A$2:$D$995,4,FALSE),IFERROR(VLOOKUP(K251,'[2]Other Queries'!$A$2:$E$1000,5,FALSE),IFERROR(VLOOKUP(K251,'[2]Statement Confirmation'!$A$2:$F$1000,6,FALSE),""))))</f>
        <v/>
      </c>
      <c r="Q251" s="117"/>
      <c r="R251" s="51"/>
      <c r="S251" s="52" t="s">
        <v>61</v>
      </c>
      <c r="T251" s="53"/>
      <c r="U251" s="53"/>
      <c r="V251" s="54"/>
      <c r="W251" s="55"/>
      <c r="X251" s="116"/>
      <c r="Y251" s="121"/>
      <c r="Z251" s="122"/>
      <c r="AA251" s="122"/>
      <c r="AB251" s="116"/>
      <c r="AC251" s="121"/>
      <c r="AD251" s="122"/>
      <c r="AE251" s="122"/>
      <c r="AF251" s="116"/>
      <c r="AG251" s="123"/>
    </row>
    <row r="252" spans="1:33" s="15" customFormat="1" ht="25.5" customHeight="1" x14ac:dyDescent="0.3">
      <c r="A252" s="131"/>
      <c r="B252" s="50"/>
      <c r="C252" s="50"/>
      <c r="D252" s="49"/>
      <c r="E252" s="127"/>
      <c r="F252" s="50"/>
      <c r="G252" s="50"/>
      <c r="H252" s="124"/>
      <c r="I252" s="51"/>
      <c r="J252" s="116" t="s">
        <v>61</v>
      </c>
      <c r="K252" s="140"/>
      <c r="L252" s="125"/>
      <c r="M252" s="125"/>
      <c r="N252" s="149"/>
      <c r="O252" s="125"/>
      <c r="P252" s="126" t="str">
        <f>(IFERROR(VLOOKUP(K252,[2]Sampling!$A$2:$D$995,4,FALSE),IFERROR(VLOOKUP(K252,'[2]Other Queries'!$A$2:$E$1000,5,FALSE),IFERROR(VLOOKUP(K252,'[2]Statement Confirmation'!$A$2:$F$1000,6,FALSE),""))))</f>
        <v/>
      </c>
      <c r="Q252" s="117"/>
      <c r="R252" s="51"/>
      <c r="S252" s="52" t="s">
        <v>61</v>
      </c>
      <c r="T252" s="53"/>
      <c r="U252" s="53"/>
      <c r="V252" s="54"/>
      <c r="W252" s="55"/>
      <c r="X252" s="116"/>
      <c r="Y252" s="121"/>
      <c r="Z252" s="122"/>
      <c r="AA252" s="122"/>
      <c r="AB252" s="116"/>
      <c r="AC252" s="121"/>
      <c r="AD252" s="122"/>
      <c r="AE252" s="122"/>
      <c r="AF252" s="116"/>
      <c r="AG252" s="123"/>
    </row>
    <row r="253" spans="1:33" s="15" customFormat="1" ht="25.5" customHeight="1" x14ac:dyDescent="0.3">
      <c r="A253" s="131"/>
      <c r="B253" s="50"/>
      <c r="C253" s="50"/>
      <c r="D253" s="49"/>
      <c r="E253" s="127"/>
      <c r="F253" s="50"/>
      <c r="G253" s="50"/>
      <c r="H253" s="124"/>
      <c r="I253" s="51"/>
      <c r="J253" s="116" t="s">
        <v>61</v>
      </c>
      <c r="K253" s="140"/>
      <c r="L253" s="125"/>
      <c r="M253" s="125"/>
      <c r="N253" s="149"/>
      <c r="O253" s="125"/>
      <c r="P253" s="126" t="str">
        <f>(IFERROR(VLOOKUP(K253,[2]Sampling!$A$2:$D$995,4,FALSE),IFERROR(VLOOKUP(K253,'[2]Other Queries'!$A$2:$E$1000,5,FALSE),IFERROR(VLOOKUP(K253,'[2]Statement Confirmation'!$A$2:$F$1000,6,FALSE),""))))</f>
        <v/>
      </c>
      <c r="Q253" s="117"/>
      <c r="R253" s="51"/>
      <c r="S253" s="52" t="s">
        <v>61</v>
      </c>
      <c r="T253" s="53"/>
      <c r="U253" s="53"/>
      <c r="V253" s="54"/>
      <c r="W253" s="55"/>
      <c r="X253" s="116"/>
      <c r="Y253" s="121"/>
      <c r="Z253" s="122"/>
      <c r="AA253" s="122"/>
      <c r="AB253" s="116"/>
      <c r="AC253" s="121"/>
      <c r="AD253" s="122"/>
      <c r="AE253" s="122"/>
      <c r="AF253" s="116"/>
      <c r="AG253" s="123"/>
    </row>
    <row r="254" spans="1:33" s="15" customFormat="1" ht="25.5" customHeight="1" x14ac:dyDescent="0.3">
      <c r="A254" s="131"/>
      <c r="B254" s="50"/>
      <c r="C254" s="50"/>
      <c r="D254" s="49"/>
      <c r="E254" s="127"/>
      <c r="F254" s="50"/>
      <c r="G254" s="50"/>
      <c r="H254" s="124"/>
      <c r="I254" s="51"/>
      <c r="J254" s="116" t="s">
        <v>61</v>
      </c>
      <c r="K254" s="140"/>
      <c r="L254" s="125"/>
      <c r="M254" s="125"/>
      <c r="N254" s="149"/>
      <c r="O254" s="125"/>
      <c r="P254" s="126" t="str">
        <f>(IFERROR(VLOOKUP(K254,[2]Sampling!$A$2:$D$995,4,FALSE),IFERROR(VLOOKUP(K254,'[2]Other Queries'!$A$2:$E$1000,5,FALSE),IFERROR(VLOOKUP(K254,'[2]Statement Confirmation'!$A$2:$F$1000,6,FALSE),""))))</f>
        <v/>
      </c>
      <c r="Q254" s="117"/>
      <c r="R254" s="51"/>
      <c r="S254" s="52" t="s">
        <v>61</v>
      </c>
      <c r="T254" s="53"/>
      <c r="U254" s="53"/>
      <c r="V254" s="54"/>
      <c r="W254" s="55"/>
      <c r="X254" s="116"/>
      <c r="Y254" s="121"/>
      <c r="Z254" s="122"/>
      <c r="AA254" s="122"/>
      <c r="AB254" s="116"/>
      <c r="AC254" s="121"/>
      <c r="AD254" s="122"/>
      <c r="AE254" s="122"/>
      <c r="AF254" s="116"/>
      <c r="AG254" s="123"/>
    </row>
    <row r="255" spans="1:33" s="15" customFormat="1" ht="25.5" customHeight="1" x14ac:dyDescent="0.3">
      <c r="A255" s="131"/>
      <c r="B255" s="50"/>
      <c r="C255" s="50"/>
      <c r="D255" s="49"/>
      <c r="E255" s="127"/>
      <c r="F255" s="50"/>
      <c r="G255" s="50"/>
      <c r="H255" s="124"/>
      <c r="I255" s="51"/>
      <c r="J255" s="116" t="s">
        <v>61</v>
      </c>
      <c r="K255" s="140"/>
      <c r="L255" s="125"/>
      <c r="M255" s="125"/>
      <c r="N255" s="149"/>
      <c r="O255" s="125"/>
      <c r="P255" s="126" t="str">
        <f>(IFERROR(VLOOKUP(K255,[2]Sampling!$A$2:$D$995,4,FALSE),IFERROR(VLOOKUP(K255,'[2]Other Queries'!$A$2:$E$1000,5,FALSE),IFERROR(VLOOKUP(K255,'[2]Statement Confirmation'!$A$2:$F$1000,6,FALSE),""))))</f>
        <v/>
      </c>
      <c r="Q255" s="117"/>
      <c r="R255" s="51"/>
      <c r="S255" s="52" t="s">
        <v>61</v>
      </c>
      <c r="T255" s="53"/>
      <c r="U255" s="53"/>
      <c r="V255" s="54"/>
      <c r="W255" s="55"/>
      <c r="X255" s="116"/>
      <c r="Y255" s="121"/>
      <c r="Z255" s="122"/>
      <c r="AA255" s="122"/>
      <c r="AB255" s="116"/>
      <c r="AC255" s="121"/>
      <c r="AD255" s="122"/>
      <c r="AE255" s="122"/>
      <c r="AF255" s="116"/>
      <c r="AG255" s="123"/>
    </row>
    <row r="256" spans="1:33" s="15" customFormat="1" ht="25.5" customHeight="1" x14ac:dyDescent="0.3">
      <c r="A256" s="131"/>
      <c r="B256" s="50"/>
      <c r="C256" s="50"/>
      <c r="D256" s="49"/>
      <c r="E256" s="127"/>
      <c r="F256" s="50"/>
      <c r="G256" s="50"/>
      <c r="H256" s="124"/>
      <c r="I256" s="51"/>
      <c r="J256" s="116" t="s">
        <v>61</v>
      </c>
      <c r="K256" s="140"/>
      <c r="L256" s="125"/>
      <c r="M256" s="125"/>
      <c r="N256" s="149"/>
      <c r="O256" s="125"/>
      <c r="P256" s="126" t="str">
        <f>(IFERROR(VLOOKUP(K256,[2]Sampling!$A$2:$D$995,4,FALSE),IFERROR(VLOOKUP(K256,'[2]Other Queries'!$A$2:$E$1000,5,FALSE),IFERROR(VLOOKUP(K256,'[2]Statement Confirmation'!$A$2:$F$1000,6,FALSE),""))))</f>
        <v/>
      </c>
      <c r="Q256" s="117"/>
      <c r="R256" s="51"/>
      <c r="S256" s="52" t="s">
        <v>61</v>
      </c>
      <c r="T256" s="53"/>
      <c r="U256" s="53"/>
      <c r="V256" s="54"/>
      <c r="W256" s="55"/>
      <c r="X256" s="116"/>
      <c r="Y256" s="121"/>
      <c r="Z256" s="122"/>
      <c r="AA256" s="122"/>
      <c r="AB256" s="116"/>
      <c r="AC256" s="121"/>
      <c r="AD256" s="122"/>
      <c r="AE256" s="122"/>
      <c r="AF256" s="116"/>
      <c r="AG256" s="123"/>
    </row>
    <row r="257" spans="1:33" s="15" customFormat="1" ht="25.5" customHeight="1" x14ac:dyDescent="0.3">
      <c r="A257" s="131"/>
      <c r="B257" s="50"/>
      <c r="C257" s="50"/>
      <c r="D257" s="49"/>
      <c r="E257" s="127"/>
      <c r="F257" s="50"/>
      <c r="G257" s="50"/>
      <c r="H257" s="124"/>
      <c r="I257" s="51"/>
      <c r="J257" s="116" t="s">
        <v>61</v>
      </c>
      <c r="K257" s="140"/>
      <c r="L257" s="125"/>
      <c r="M257" s="125"/>
      <c r="N257" s="149"/>
      <c r="O257" s="125"/>
      <c r="P257" s="126" t="str">
        <f>(IFERROR(VLOOKUP(K257,[2]Sampling!$A$2:$D$995,4,FALSE),IFERROR(VLOOKUP(K257,'[2]Other Queries'!$A$2:$E$1000,5,FALSE),IFERROR(VLOOKUP(K257,'[2]Statement Confirmation'!$A$2:$F$1000,6,FALSE),""))))</f>
        <v/>
      </c>
      <c r="Q257" s="117"/>
      <c r="R257" s="51"/>
      <c r="S257" s="52" t="s">
        <v>61</v>
      </c>
      <c r="T257" s="53"/>
      <c r="U257" s="53"/>
      <c r="V257" s="54"/>
      <c r="W257" s="55"/>
      <c r="X257" s="116"/>
      <c r="Y257" s="121"/>
      <c r="Z257" s="122"/>
      <c r="AA257" s="122"/>
      <c r="AB257" s="116"/>
      <c r="AC257" s="121"/>
      <c r="AD257" s="122"/>
      <c r="AE257" s="122"/>
      <c r="AF257" s="116"/>
      <c r="AG257" s="123"/>
    </row>
    <row r="258" spans="1:33" s="15" customFormat="1" ht="25.5" customHeight="1" x14ac:dyDescent="0.3">
      <c r="A258" s="131"/>
      <c r="B258" s="50"/>
      <c r="C258" s="50"/>
      <c r="D258" s="49"/>
      <c r="E258" s="127"/>
      <c r="F258" s="50"/>
      <c r="G258" s="50"/>
      <c r="H258" s="124"/>
      <c r="I258" s="51"/>
      <c r="J258" s="116" t="s">
        <v>61</v>
      </c>
      <c r="K258" s="140"/>
      <c r="L258" s="125"/>
      <c r="M258" s="125"/>
      <c r="N258" s="149"/>
      <c r="O258" s="125"/>
      <c r="P258" s="126" t="str">
        <f>(IFERROR(VLOOKUP(K258,[2]Sampling!$A$2:$D$995,4,FALSE),IFERROR(VLOOKUP(K258,'[2]Other Queries'!$A$2:$E$1000,5,FALSE),IFERROR(VLOOKUP(K258,'[2]Statement Confirmation'!$A$2:$F$1000,6,FALSE),""))))</f>
        <v/>
      </c>
      <c r="Q258" s="117"/>
      <c r="R258" s="51"/>
      <c r="S258" s="52" t="s">
        <v>61</v>
      </c>
      <c r="T258" s="53"/>
      <c r="U258" s="53"/>
      <c r="V258" s="54"/>
      <c r="W258" s="55"/>
      <c r="X258" s="116"/>
      <c r="Y258" s="121"/>
      <c r="Z258" s="122"/>
      <c r="AA258" s="122"/>
      <c r="AB258" s="116"/>
      <c r="AC258" s="121"/>
      <c r="AD258" s="122"/>
      <c r="AE258" s="122"/>
      <c r="AF258" s="116"/>
      <c r="AG258" s="123"/>
    </row>
    <row r="259" spans="1:33" s="15" customFormat="1" ht="25.5" customHeight="1" x14ac:dyDescent="0.3">
      <c r="A259" s="131"/>
      <c r="B259" s="50"/>
      <c r="C259" s="50"/>
      <c r="D259" s="49"/>
      <c r="E259" s="127"/>
      <c r="F259" s="50"/>
      <c r="G259" s="50"/>
      <c r="H259" s="124"/>
      <c r="I259" s="51"/>
      <c r="J259" s="116" t="s">
        <v>61</v>
      </c>
      <c r="K259" s="140"/>
      <c r="L259" s="125"/>
      <c r="M259" s="125"/>
      <c r="N259" s="149"/>
      <c r="O259" s="125"/>
      <c r="P259" s="126" t="str">
        <f>(IFERROR(VLOOKUP(K259,[2]Sampling!$A$2:$D$995,4,FALSE),IFERROR(VLOOKUP(K259,'[2]Other Queries'!$A$2:$E$1000,5,FALSE),IFERROR(VLOOKUP(K259,'[2]Statement Confirmation'!$A$2:$F$1000,6,FALSE),""))))</f>
        <v/>
      </c>
      <c r="Q259" s="117"/>
      <c r="R259" s="51"/>
      <c r="S259" s="52" t="s">
        <v>61</v>
      </c>
      <c r="T259" s="53"/>
      <c r="U259" s="53"/>
      <c r="V259" s="54"/>
      <c r="W259" s="55"/>
      <c r="X259" s="116"/>
      <c r="Y259" s="121"/>
      <c r="Z259" s="122"/>
      <c r="AA259" s="122"/>
      <c r="AB259" s="116"/>
      <c r="AC259" s="121"/>
      <c r="AD259" s="122"/>
      <c r="AE259" s="122"/>
      <c r="AF259" s="116"/>
      <c r="AG259" s="123"/>
    </row>
    <row r="260" spans="1:33" s="15" customFormat="1" ht="25.5" customHeight="1" x14ac:dyDescent="0.3">
      <c r="A260" s="131"/>
      <c r="B260" s="50"/>
      <c r="C260" s="50"/>
      <c r="D260" s="49"/>
      <c r="E260" s="127"/>
      <c r="F260" s="50"/>
      <c r="G260" s="50"/>
      <c r="H260" s="124"/>
      <c r="I260" s="51"/>
      <c r="J260" s="116" t="s">
        <v>61</v>
      </c>
      <c r="K260" s="140"/>
      <c r="L260" s="125"/>
      <c r="M260" s="125"/>
      <c r="N260" s="149"/>
      <c r="O260" s="125"/>
      <c r="P260" s="126" t="str">
        <f>(IFERROR(VLOOKUP(K260,[2]Sampling!$A$2:$D$995,4,FALSE),IFERROR(VLOOKUP(K260,'[2]Other Queries'!$A$2:$E$1000,5,FALSE),IFERROR(VLOOKUP(K260,'[2]Statement Confirmation'!$A$2:$F$1000,6,FALSE),""))))</f>
        <v/>
      </c>
      <c r="Q260" s="117"/>
      <c r="R260" s="51"/>
      <c r="S260" s="52" t="s">
        <v>61</v>
      </c>
      <c r="T260" s="53"/>
      <c r="U260" s="53"/>
      <c r="V260" s="54"/>
      <c r="W260" s="55"/>
      <c r="X260" s="116"/>
      <c r="Y260" s="121"/>
      <c r="Z260" s="122"/>
      <c r="AA260" s="122"/>
      <c r="AB260" s="116"/>
      <c r="AC260" s="121"/>
      <c r="AD260" s="122"/>
      <c r="AE260" s="122"/>
      <c r="AF260" s="116"/>
      <c r="AG260" s="123"/>
    </row>
    <row r="261" spans="1:33" s="15" customFormat="1" ht="25.5" customHeight="1" x14ac:dyDescent="0.3">
      <c r="A261" s="131"/>
      <c r="B261" s="50"/>
      <c r="C261" s="50"/>
      <c r="D261" s="49"/>
      <c r="E261" s="127"/>
      <c r="F261" s="50"/>
      <c r="G261" s="50"/>
      <c r="H261" s="124"/>
      <c r="I261" s="51"/>
      <c r="J261" s="116" t="s">
        <v>61</v>
      </c>
      <c r="K261" s="140"/>
      <c r="L261" s="125"/>
      <c r="M261" s="125"/>
      <c r="N261" s="149"/>
      <c r="O261" s="125"/>
      <c r="P261" s="126" t="str">
        <f>(IFERROR(VLOOKUP(K261,[2]Sampling!$A$2:$D$995,4,FALSE),IFERROR(VLOOKUP(K261,'[2]Other Queries'!$A$2:$E$1000,5,FALSE),IFERROR(VLOOKUP(K261,'[2]Statement Confirmation'!$A$2:$F$1000,6,FALSE),""))))</f>
        <v/>
      </c>
      <c r="Q261" s="117"/>
      <c r="R261" s="51"/>
      <c r="S261" s="52" t="s">
        <v>61</v>
      </c>
      <c r="T261" s="53"/>
      <c r="U261" s="53"/>
      <c r="V261" s="54"/>
      <c r="W261" s="55"/>
      <c r="X261" s="116"/>
      <c r="Y261" s="121"/>
      <c r="Z261" s="122"/>
      <c r="AA261" s="122"/>
      <c r="AB261" s="116"/>
      <c r="AC261" s="121"/>
      <c r="AD261" s="122"/>
      <c r="AE261" s="122"/>
      <c r="AF261" s="116"/>
      <c r="AG261" s="123"/>
    </row>
    <row r="262" spans="1:33" s="15" customFormat="1" ht="25.5" customHeight="1" x14ac:dyDescent="0.3">
      <c r="A262" s="131"/>
      <c r="B262" s="50"/>
      <c r="C262" s="50"/>
      <c r="D262" s="49"/>
      <c r="E262" s="127"/>
      <c r="F262" s="50"/>
      <c r="G262" s="50"/>
      <c r="H262" s="124"/>
      <c r="I262" s="51"/>
      <c r="J262" s="116" t="s">
        <v>61</v>
      </c>
      <c r="K262" s="140"/>
      <c r="L262" s="125"/>
      <c r="M262" s="125"/>
      <c r="N262" s="149"/>
      <c r="O262" s="125"/>
      <c r="P262" s="126" t="str">
        <f>(IFERROR(VLOOKUP(K262,[2]Sampling!$A$2:$D$995,4,FALSE),IFERROR(VLOOKUP(K262,'[2]Other Queries'!$A$2:$E$1000,5,FALSE),IFERROR(VLOOKUP(K262,'[2]Statement Confirmation'!$A$2:$F$1000,6,FALSE),""))))</f>
        <v/>
      </c>
      <c r="Q262" s="117"/>
      <c r="R262" s="51"/>
      <c r="S262" s="52" t="s">
        <v>61</v>
      </c>
      <c r="T262" s="53"/>
      <c r="U262" s="53"/>
      <c r="V262" s="54"/>
      <c r="W262" s="55"/>
      <c r="X262" s="116"/>
      <c r="Y262" s="121"/>
      <c r="Z262" s="122"/>
      <c r="AA262" s="122"/>
      <c r="AB262" s="116"/>
      <c r="AC262" s="121"/>
      <c r="AD262" s="122"/>
      <c r="AE262" s="122"/>
      <c r="AF262" s="116"/>
      <c r="AG262" s="123"/>
    </row>
    <row r="263" spans="1:33" s="15" customFormat="1" ht="25.5" customHeight="1" x14ac:dyDescent="0.3">
      <c r="A263" s="131"/>
      <c r="B263" s="50"/>
      <c r="C263" s="50"/>
      <c r="D263" s="49"/>
      <c r="E263" s="127"/>
      <c r="F263" s="50"/>
      <c r="G263" s="50"/>
      <c r="H263" s="124"/>
      <c r="I263" s="51"/>
      <c r="J263" s="116" t="s">
        <v>61</v>
      </c>
      <c r="K263" s="140"/>
      <c r="L263" s="125"/>
      <c r="M263" s="125"/>
      <c r="N263" s="149"/>
      <c r="O263" s="125"/>
      <c r="P263" s="126" t="str">
        <f>(IFERROR(VLOOKUP(K263,[2]Sampling!$A$2:$D$995,4,FALSE),IFERROR(VLOOKUP(K263,'[2]Other Queries'!$A$2:$E$1000,5,FALSE),IFERROR(VLOOKUP(K263,'[2]Statement Confirmation'!$A$2:$F$1000,6,FALSE),""))))</f>
        <v/>
      </c>
      <c r="Q263" s="117"/>
      <c r="R263" s="51"/>
      <c r="S263" s="52" t="s">
        <v>61</v>
      </c>
      <c r="T263" s="53"/>
      <c r="U263" s="53"/>
      <c r="V263" s="54"/>
      <c r="W263" s="55"/>
      <c r="X263" s="116"/>
      <c r="Y263" s="121"/>
      <c r="Z263" s="122"/>
      <c r="AA263" s="122"/>
      <c r="AB263" s="116"/>
      <c r="AC263" s="121"/>
      <c r="AD263" s="122"/>
      <c r="AE263" s="122"/>
      <c r="AF263" s="116"/>
      <c r="AG263" s="123"/>
    </row>
    <row r="264" spans="1:33" s="15" customFormat="1" ht="25.5" customHeight="1" x14ac:dyDescent="0.3">
      <c r="A264" s="131"/>
      <c r="B264" s="50"/>
      <c r="C264" s="50"/>
      <c r="D264" s="49"/>
      <c r="E264" s="127"/>
      <c r="F264" s="50"/>
      <c r="G264" s="50"/>
      <c r="H264" s="124"/>
      <c r="I264" s="51"/>
      <c r="J264" s="116" t="s">
        <v>61</v>
      </c>
      <c r="K264" s="140"/>
      <c r="L264" s="125"/>
      <c r="M264" s="125"/>
      <c r="N264" s="149"/>
      <c r="O264" s="125"/>
      <c r="P264" s="126" t="str">
        <f>(IFERROR(VLOOKUP(K264,[2]Sampling!$A$2:$D$995,4,FALSE),IFERROR(VLOOKUP(K264,'[2]Other Queries'!$A$2:$E$1000,5,FALSE),IFERROR(VLOOKUP(K264,'[2]Statement Confirmation'!$A$2:$F$1000,6,FALSE),""))))</f>
        <v/>
      </c>
      <c r="Q264" s="117"/>
      <c r="R264" s="51"/>
      <c r="S264" s="52" t="s">
        <v>61</v>
      </c>
      <c r="T264" s="53"/>
      <c r="U264" s="53"/>
      <c r="V264" s="54"/>
      <c r="W264" s="55"/>
      <c r="X264" s="116"/>
      <c r="Y264" s="121"/>
      <c r="Z264" s="122"/>
      <c r="AA264" s="122"/>
      <c r="AB264" s="116"/>
      <c r="AC264" s="121"/>
      <c r="AD264" s="122"/>
      <c r="AE264" s="122"/>
      <c r="AF264" s="116"/>
      <c r="AG264" s="123"/>
    </row>
    <row r="265" spans="1:33" s="15" customFormat="1" ht="25.5" customHeight="1" x14ac:dyDescent="0.3">
      <c r="A265" s="131"/>
      <c r="B265" s="50"/>
      <c r="C265" s="50"/>
      <c r="D265" s="49"/>
      <c r="E265" s="127"/>
      <c r="F265" s="50"/>
      <c r="G265" s="50"/>
      <c r="H265" s="124"/>
      <c r="I265" s="51"/>
      <c r="J265" s="116" t="s">
        <v>61</v>
      </c>
      <c r="K265" s="140"/>
      <c r="L265" s="125"/>
      <c r="M265" s="125"/>
      <c r="N265" s="149"/>
      <c r="O265" s="125"/>
      <c r="P265" s="126" t="str">
        <f>(IFERROR(VLOOKUP(K265,[2]Sampling!$A$2:$D$995,4,FALSE),IFERROR(VLOOKUP(K265,'[2]Other Queries'!$A$2:$E$1000,5,FALSE),IFERROR(VLOOKUP(K265,'[2]Statement Confirmation'!$A$2:$F$1000,6,FALSE),""))))</f>
        <v/>
      </c>
      <c r="Q265" s="117"/>
      <c r="R265" s="51"/>
      <c r="S265" s="52" t="s">
        <v>61</v>
      </c>
      <c r="T265" s="53"/>
      <c r="U265" s="53"/>
      <c r="V265" s="54"/>
      <c r="W265" s="55"/>
      <c r="X265" s="116"/>
      <c r="Y265" s="121"/>
      <c r="Z265" s="122"/>
      <c r="AA265" s="122"/>
      <c r="AB265" s="116"/>
      <c r="AC265" s="121"/>
      <c r="AD265" s="122"/>
      <c r="AE265" s="122"/>
      <c r="AF265" s="116"/>
      <c r="AG265" s="123"/>
    </row>
    <row r="266" spans="1:33" s="15" customFormat="1" ht="25.5" customHeight="1" x14ac:dyDescent="0.3">
      <c r="A266" s="131"/>
      <c r="B266" s="50"/>
      <c r="C266" s="50"/>
      <c r="D266" s="49"/>
      <c r="E266" s="127"/>
      <c r="F266" s="50"/>
      <c r="G266" s="50"/>
      <c r="H266" s="124"/>
      <c r="I266" s="51"/>
      <c r="J266" s="116" t="s">
        <v>61</v>
      </c>
      <c r="K266" s="140"/>
      <c r="L266" s="125"/>
      <c r="M266" s="125"/>
      <c r="N266" s="149"/>
      <c r="O266" s="125"/>
      <c r="P266" s="126" t="str">
        <f>(IFERROR(VLOOKUP(K266,[2]Sampling!$A$2:$D$995,4,FALSE),IFERROR(VLOOKUP(K266,'[2]Other Queries'!$A$2:$E$1000,5,FALSE),IFERROR(VLOOKUP(K266,'[2]Statement Confirmation'!$A$2:$F$1000,6,FALSE),""))))</f>
        <v/>
      </c>
      <c r="Q266" s="117"/>
      <c r="R266" s="51"/>
      <c r="S266" s="52" t="s">
        <v>61</v>
      </c>
      <c r="T266" s="53"/>
      <c r="U266" s="53"/>
      <c r="V266" s="54"/>
      <c r="W266" s="55"/>
      <c r="X266" s="116"/>
      <c r="Y266" s="121"/>
      <c r="Z266" s="122"/>
      <c r="AA266" s="122"/>
      <c r="AB266" s="116"/>
      <c r="AC266" s="121"/>
      <c r="AD266" s="122"/>
      <c r="AE266" s="122"/>
      <c r="AF266" s="116"/>
      <c r="AG266" s="123"/>
    </row>
    <row r="267" spans="1:33" s="15" customFormat="1" ht="25.5" customHeight="1" x14ac:dyDescent="0.3">
      <c r="A267" s="131"/>
      <c r="B267" s="50"/>
      <c r="C267" s="50"/>
      <c r="D267" s="49"/>
      <c r="E267" s="127"/>
      <c r="F267" s="50"/>
      <c r="G267" s="50"/>
      <c r="H267" s="124"/>
      <c r="I267" s="51"/>
      <c r="J267" s="116" t="s">
        <v>61</v>
      </c>
      <c r="K267" s="140"/>
      <c r="L267" s="125"/>
      <c r="M267" s="125"/>
      <c r="N267" s="149"/>
      <c r="O267" s="125"/>
      <c r="P267" s="126" t="str">
        <f>(IFERROR(VLOOKUP(K267,[2]Sampling!$A$2:$D$995,4,FALSE),IFERROR(VLOOKUP(K267,'[2]Other Queries'!$A$2:$E$1000,5,FALSE),IFERROR(VLOOKUP(K267,'[2]Statement Confirmation'!$A$2:$F$1000,6,FALSE),""))))</f>
        <v/>
      </c>
      <c r="Q267" s="117"/>
      <c r="R267" s="51"/>
      <c r="S267" s="52" t="s">
        <v>61</v>
      </c>
      <c r="T267" s="53"/>
      <c r="U267" s="53"/>
      <c r="V267" s="54"/>
      <c r="W267" s="55"/>
      <c r="X267" s="116"/>
      <c r="Y267" s="121"/>
      <c r="Z267" s="122"/>
      <c r="AA267" s="122"/>
      <c r="AB267" s="116"/>
      <c r="AC267" s="121"/>
      <c r="AD267" s="122"/>
      <c r="AE267" s="122"/>
      <c r="AF267" s="116"/>
      <c r="AG267" s="123"/>
    </row>
    <row r="268" spans="1:33" s="15" customFormat="1" ht="25.5" customHeight="1" x14ac:dyDescent="0.3">
      <c r="A268" s="131"/>
      <c r="B268" s="50"/>
      <c r="C268" s="50"/>
      <c r="D268" s="49"/>
      <c r="E268" s="127"/>
      <c r="F268" s="50"/>
      <c r="G268" s="50"/>
      <c r="H268" s="124"/>
      <c r="I268" s="51"/>
      <c r="J268" s="116" t="s">
        <v>61</v>
      </c>
      <c r="K268" s="140"/>
      <c r="L268" s="125"/>
      <c r="M268" s="125"/>
      <c r="N268" s="149"/>
      <c r="O268" s="125"/>
      <c r="P268" s="126" t="str">
        <f>(IFERROR(VLOOKUP(K268,[2]Sampling!$A$2:$D$995,4,FALSE),IFERROR(VLOOKUP(K268,'[2]Other Queries'!$A$2:$E$1000,5,FALSE),IFERROR(VLOOKUP(K268,'[2]Statement Confirmation'!$A$2:$F$1000,6,FALSE),""))))</f>
        <v/>
      </c>
      <c r="Q268" s="117"/>
      <c r="R268" s="51"/>
      <c r="S268" s="52" t="s">
        <v>61</v>
      </c>
      <c r="T268" s="53"/>
      <c r="U268" s="53"/>
      <c r="V268" s="54"/>
      <c r="W268" s="55"/>
      <c r="X268" s="116"/>
      <c r="Y268" s="121"/>
      <c r="Z268" s="122"/>
      <c r="AA268" s="122"/>
      <c r="AB268" s="116"/>
      <c r="AC268" s="121"/>
      <c r="AD268" s="122"/>
      <c r="AE268" s="122"/>
      <c r="AF268" s="116"/>
      <c r="AG268" s="123"/>
    </row>
    <row r="269" spans="1:33" s="15" customFormat="1" ht="25.5" customHeight="1" x14ac:dyDescent="0.3">
      <c r="A269" s="131"/>
      <c r="B269" s="50"/>
      <c r="C269" s="50"/>
      <c r="D269" s="49"/>
      <c r="E269" s="127"/>
      <c r="F269" s="50"/>
      <c r="G269" s="50"/>
      <c r="H269" s="124"/>
      <c r="I269" s="51"/>
      <c r="J269" s="116" t="s">
        <v>61</v>
      </c>
      <c r="K269" s="140"/>
      <c r="L269" s="125"/>
      <c r="M269" s="125"/>
      <c r="N269" s="149"/>
      <c r="O269" s="125"/>
      <c r="P269" s="126" t="str">
        <f>(IFERROR(VLOOKUP(K269,[2]Sampling!$A$2:$D$995,4,FALSE),IFERROR(VLOOKUP(K269,'[2]Other Queries'!$A$2:$E$1000,5,FALSE),IFERROR(VLOOKUP(K269,'[2]Statement Confirmation'!$A$2:$F$1000,6,FALSE),""))))</f>
        <v/>
      </c>
      <c r="Q269" s="117"/>
      <c r="R269" s="51"/>
      <c r="S269" s="52" t="s">
        <v>61</v>
      </c>
      <c r="T269" s="53"/>
      <c r="U269" s="53"/>
      <c r="V269" s="54"/>
      <c r="W269" s="55"/>
      <c r="X269" s="116"/>
      <c r="Y269" s="121"/>
      <c r="Z269" s="122"/>
      <c r="AA269" s="122"/>
      <c r="AB269" s="116"/>
      <c r="AC269" s="121"/>
      <c r="AD269" s="122"/>
      <c r="AE269" s="122"/>
      <c r="AF269" s="116"/>
      <c r="AG269" s="123"/>
    </row>
    <row r="270" spans="1:33" s="15" customFormat="1" ht="25.5" customHeight="1" x14ac:dyDescent="0.3">
      <c r="A270" s="131"/>
      <c r="B270" s="50"/>
      <c r="C270" s="50"/>
      <c r="D270" s="49"/>
      <c r="E270" s="127"/>
      <c r="F270" s="50"/>
      <c r="G270" s="50"/>
      <c r="H270" s="124"/>
      <c r="I270" s="51"/>
      <c r="J270" s="116" t="s">
        <v>61</v>
      </c>
      <c r="K270" s="140"/>
      <c r="L270" s="125"/>
      <c r="M270" s="125"/>
      <c r="N270" s="149"/>
      <c r="O270" s="125"/>
      <c r="P270" s="126" t="str">
        <f>(IFERROR(VLOOKUP(K270,[2]Sampling!$A$2:$D$995,4,FALSE),IFERROR(VLOOKUP(K270,'[2]Other Queries'!$A$2:$E$1000,5,FALSE),IFERROR(VLOOKUP(K270,'[2]Statement Confirmation'!$A$2:$F$1000,6,FALSE),""))))</f>
        <v/>
      </c>
      <c r="Q270" s="117"/>
      <c r="R270" s="51"/>
      <c r="S270" s="52" t="s">
        <v>61</v>
      </c>
      <c r="T270" s="53"/>
      <c r="U270" s="53"/>
      <c r="V270" s="54"/>
      <c r="W270" s="55"/>
      <c r="X270" s="116"/>
      <c r="Y270" s="121"/>
      <c r="Z270" s="122"/>
      <c r="AA270" s="122"/>
      <c r="AB270" s="116"/>
      <c r="AC270" s="121"/>
      <c r="AD270" s="122"/>
      <c r="AE270" s="122"/>
      <c r="AF270" s="116"/>
      <c r="AG270" s="123"/>
    </row>
    <row r="271" spans="1:33" s="15" customFormat="1" ht="25.5" customHeight="1" x14ac:dyDescent="0.3">
      <c r="A271" s="131"/>
      <c r="B271" s="50"/>
      <c r="C271" s="50"/>
      <c r="D271" s="49"/>
      <c r="E271" s="127"/>
      <c r="F271" s="50"/>
      <c r="G271" s="50"/>
      <c r="H271" s="124"/>
      <c r="I271" s="51"/>
      <c r="J271" s="116" t="s">
        <v>61</v>
      </c>
      <c r="K271" s="140"/>
      <c r="L271" s="125"/>
      <c r="M271" s="125"/>
      <c r="N271" s="149"/>
      <c r="O271" s="125"/>
      <c r="P271" s="126" t="str">
        <f>(IFERROR(VLOOKUP(K271,[2]Sampling!$A$2:$D$995,4,FALSE),IFERROR(VLOOKUP(K271,'[2]Other Queries'!$A$2:$E$1000,5,FALSE),IFERROR(VLOOKUP(K271,'[2]Statement Confirmation'!$A$2:$F$1000,6,FALSE),""))))</f>
        <v/>
      </c>
      <c r="Q271" s="117"/>
      <c r="R271" s="51"/>
      <c r="S271" s="52" t="s">
        <v>61</v>
      </c>
      <c r="T271" s="53"/>
      <c r="U271" s="53"/>
      <c r="V271" s="54"/>
      <c r="W271" s="55"/>
      <c r="X271" s="116"/>
      <c r="Y271" s="121"/>
      <c r="Z271" s="122"/>
      <c r="AA271" s="122"/>
      <c r="AB271" s="116"/>
      <c r="AC271" s="121"/>
      <c r="AD271" s="122"/>
      <c r="AE271" s="122"/>
      <c r="AF271" s="116"/>
      <c r="AG271" s="123"/>
    </row>
    <row r="272" spans="1:33" s="15" customFormat="1" ht="25.5" customHeight="1" x14ac:dyDescent="0.3">
      <c r="A272" s="131"/>
      <c r="B272" s="50"/>
      <c r="C272" s="50"/>
      <c r="D272" s="49"/>
      <c r="E272" s="127"/>
      <c r="F272" s="50"/>
      <c r="G272" s="50"/>
      <c r="H272" s="124"/>
      <c r="I272" s="51"/>
      <c r="J272" s="116" t="s">
        <v>61</v>
      </c>
      <c r="K272" s="140"/>
      <c r="L272" s="125"/>
      <c r="M272" s="125"/>
      <c r="N272" s="149"/>
      <c r="O272" s="125"/>
      <c r="P272" s="126" t="str">
        <f>(IFERROR(VLOOKUP(K272,[2]Sampling!$A$2:$D$995,4,FALSE),IFERROR(VLOOKUP(K272,'[2]Other Queries'!$A$2:$E$1000,5,FALSE),IFERROR(VLOOKUP(K272,'[2]Statement Confirmation'!$A$2:$F$1000,6,FALSE),""))))</f>
        <v/>
      </c>
      <c r="Q272" s="117"/>
      <c r="R272" s="51"/>
      <c r="S272" s="52" t="s">
        <v>61</v>
      </c>
      <c r="T272" s="53"/>
      <c r="U272" s="53"/>
      <c r="V272" s="54"/>
      <c r="W272" s="55"/>
      <c r="X272" s="116"/>
      <c r="Y272" s="121"/>
      <c r="Z272" s="122"/>
      <c r="AA272" s="122"/>
      <c r="AB272" s="116"/>
      <c r="AC272" s="121"/>
      <c r="AD272" s="122"/>
      <c r="AE272" s="122"/>
      <c r="AF272" s="116"/>
      <c r="AG272" s="123"/>
    </row>
    <row r="273" spans="1:33" s="15" customFormat="1" ht="25.5" customHeight="1" x14ac:dyDescent="0.3">
      <c r="A273" s="131"/>
      <c r="B273" s="50"/>
      <c r="C273" s="50"/>
      <c r="D273" s="49"/>
      <c r="E273" s="127"/>
      <c r="F273" s="50"/>
      <c r="G273" s="50"/>
      <c r="H273" s="124"/>
      <c r="I273" s="51"/>
      <c r="J273" s="116" t="s">
        <v>61</v>
      </c>
      <c r="K273" s="140"/>
      <c r="L273" s="125"/>
      <c r="M273" s="125"/>
      <c r="N273" s="149"/>
      <c r="O273" s="125"/>
      <c r="P273" s="126" t="str">
        <f>(IFERROR(VLOOKUP(K273,[2]Sampling!$A$2:$D$995,4,FALSE),IFERROR(VLOOKUP(K273,'[2]Other Queries'!$A$2:$E$1000,5,FALSE),IFERROR(VLOOKUP(K273,'[2]Statement Confirmation'!$A$2:$F$1000,6,FALSE),""))))</f>
        <v/>
      </c>
      <c r="Q273" s="117"/>
      <c r="R273" s="51"/>
      <c r="S273" s="52" t="s">
        <v>61</v>
      </c>
      <c r="T273" s="53"/>
      <c r="U273" s="53"/>
      <c r="V273" s="54"/>
      <c r="W273" s="55"/>
      <c r="X273" s="116"/>
      <c r="Y273" s="121"/>
      <c r="Z273" s="122"/>
      <c r="AA273" s="122"/>
      <c r="AB273" s="116"/>
      <c r="AC273" s="121"/>
      <c r="AD273" s="122"/>
      <c r="AE273" s="122"/>
      <c r="AF273" s="116"/>
      <c r="AG273" s="123"/>
    </row>
    <row r="274" spans="1:33" s="15" customFormat="1" ht="25.5" customHeight="1" x14ac:dyDescent="0.3">
      <c r="A274" s="131"/>
      <c r="B274" s="50"/>
      <c r="C274" s="50"/>
      <c r="D274" s="49"/>
      <c r="E274" s="127"/>
      <c r="F274" s="50"/>
      <c r="G274" s="50"/>
      <c r="H274" s="124"/>
      <c r="I274" s="51"/>
      <c r="J274" s="116" t="s">
        <v>61</v>
      </c>
      <c r="K274" s="140"/>
      <c r="L274" s="125"/>
      <c r="M274" s="125"/>
      <c r="N274" s="149"/>
      <c r="O274" s="125"/>
      <c r="P274" s="126" t="str">
        <f>(IFERROR(VLOOKUP(K274,[2]Sampling!$A$2:$D$995,4,FALSE),IFERROR(VLOOKUP(K274,'[2]Other Queries'!$A$2:$E$1000,5,FALSE),IFERROR(VLOOKUP(K274,'[2]Statement Confirmation'!$A$2:$F$1000,6,FALSE),""))))</f>
        <v/>
      </c>
      <c r="Q274" s="117"/>
      <c r="R274" s="51"/>
      <c r="S274" s="52" t="s">
        <v>61</v>
      </c>
      <c r="T274" s="53"/>
      <c r="U274" s="53"/>
      <c r="V274" s="54"/>
      <c r="W274" s="55"/>
      <c r="X274" s="116"/>
      <c r="Y274" s="121"/>
      <c r="Z274" s="122"/>
      <c r="AA274" s="122"/>
      <c r="AB274" s="116"/>
      <c r="AC274" s="121"/>
      <c r="AD274" s="122"/>
      <c r="AE274" s="122"/>
      <c r="AF274" s="116"/>
      <c r="AG274" s="123"/>
    </row>
    <row r="275" spans="1:33" s="15" customFormat="1" ht="25.5" customHeight="1" x14ac:dyDescent="0.3">
      <c r="A275" s="131"/>
      <c r="B275" s="50"/>
      <c r="C275" s="50"/>
      <c r="D275" s="49"/>
      <c r="E275" s="127"/>
      <c r="F275" s="50"/>
      <c r="G275" s="50"/>
      <c r="H275" s="124"/>
      <c r="I275" s="51"/>
      <c r="J275" s="116" t="s">
        <v>61</v>
      </c>
      <c r="K275" s="140"/>
      <c r="L275" s="125"/>
      <c r="M275" s="125"/>
      <c r="N275" s="149"/>
      <c r="O275" s="125"/>
      <c r="P275" s="126" t="str">
        <f>(IFERROR(VLOOKUP(K275,[2]Sampling!$A$2:$D$995,4,FALSE),IFERROR(VLOOKUP(K275,'[2]Other Queries'!$A$2:$E$1000,5,FALSE),IFERROR(VLOOKUP(K275,'[2]Statement Confirmation'!$A$2:$F$1000,6,FALSE),""))))</f>
        <v/>
      </c>
      <c r="Q275" s="117"/>
      <c r="R275" s="51"/>
      <c r="S275" s="52" t="s">
        <v>61</v>
      </c>
      <c r="T275" s="53"/>
      <c r="U275" s="53"/>
      <c r="V275" s="54"/>
      <c r="W275" s="55"/>
      <c r="X275" s="116"/>
      <c r="Y275" s="121"/>
      <c r="Z275" s="122"/>
      <c r="AA275" s="122"/>
      <c r="AB275" s="116"/>
      <c r="AC275" s="121"/>
      <c r="AD275" s="122"/>
      <c r="AE275" s="122"/>
      <c r="AF275" s="116"/>
      <c r="AG275" s="123"/>
    </row>
    <row r="276" spans="1:33" s="15" customFormat="1" ht="25.5" customHeight="1" x14ac:dyDescent="0.3">
      <c r="A276" s="131"/>
      <c r="B276" s="50"/>
      <c r="C276" s="50"/>
      <c r="D276" s="49"/>
      <c r="E276" s="127"/>
      <c r="F276" s="50"/>
      <c r="G276" s="50"/>
      <c r="H276" s="124"/>
      <c r="I276" s="51"/>
      <c r="J276" s="116" t="s">
        <v>61</v>
      </c>
      <c r="K276" s="140"/>
      <c r="L276" s="125"/>
      <c r="M276" s="125"/>
      <c r="N276" s="149"/>
      <c r="O276" s="125"/>
      <c r="P276" s="126" t="str">
        <f>(IFERROR(VLOOKUP(K276,[2]Sampling!$A$2:$D$995,4,FALSE),IFERROR(VLOOKUP(K276,'[2]Other Queries'!$A$2:$E$1000,5,FALSE),IFERROR(VLOOKUP(K276,'[2]Statement Confirmation'!$A$2:$F$1000,6,FALSE),""))))</f>
        <v/>
      </c>
      <c r="Q276" s="117"/>
      <c r="R276" s="51"/>
      <c r="S276" s="52" t="s">
        <v>61</v>
      </c>
      <c r="T276" s="53"/>
      <c r="U276" s="53"/>
      <c r="V276" s="54"/>
      <c r="W276" s="55"/>
      <c r="X276" s="116"/>
      <c r="Y276" s="121"/>
      <c r="Z276" s="122"/>
      <c r="AA276" s="122"/>
      <c r="AB276" s="116"/>
      <c r="AC276" s="121"/>
      <c r="AD276" s="122"/>
      <c r="AE276" s="122"/>
      <c r="AF276" s="116"/>
      <c r="AG276" s="123"/>
    </row>
    <row r="277" spans="1:33" s="15" customFormat="1" ht="25.5" customHeight="1" x14ac:dyDescent="0.3">
      <c r="A277" s="131"/>
      <c r="B277" s="50"/>
      <c r="C277" s="50"/>
      <c r="D277" s="49"/>
      <c r="E277" s="127"/>
      <c r="F277" s="50"/>
      <c r="G277" s="50"/>
      <c r="H277" s="124"/>
      <c r="I277" s="51"/>
      <c r="J277" s="116" t="s">
        <v>61</v>
      </c>
      <c r="K277" s="140"/>
      <c r="L277" s="125"/>
      <c r="M277" s="125"/>
      <c r="N277" s="149"/>
      <c r="O277" s="125"/>
      <c r="P277" s="126" t="str">
        <f>(IFERROR(VLOOKUP(K277,[2]Sampling!$A$2:$D$995,4,FALSE),IFERROR(VLOOKUP(K277,'[2]Other Queries'!$A$2:$E$1000,5,FALSE),IFERROR(VLOOKUP(K277,'[2]Statement Confirmation'!$A$2:$F$1000,6,FALSE),""))))</f>
        <v/>
      </c>
      <c r="Q277" s="117"/>
      <c r="R277" s="51"/>
      <c r="S277" s="52" t="s">
        <v>61</v>
      </c>
      <c r="T277" s="53"/>
      <c r="U277" s="53"/>
      <c r="V277" s="54"/>
      <c r="W277" s="55"/>
      <c r="X277" s="116"/>
      <c r="Y277" s="121"/>
      <c r="Z277" s="122"/>
      <c r="AA277" s="122"/>
      <c r="AB277" s="116"/>
      <c r="AC277" s="121"/>
      <c r="AD277" s="122"/>
      <c r="AE277" s="122"/>
      <c r="AF277" s="116"/>
      <c r="AG277" s="123"/>
    </row>
    <row r="278" spans="1:33" s="15" customFormat="1" ht="25.5" customHeight="1" x14ac:dyDescent="0.3">
      <c r="A278" s="131"/>
      <c r="B278" s="50"/>
      <c r="C278" s="50"/>
      <c r="D278" s="49"/>
      <c r="E278" s="127"/>
      <c r="F278" s="50"/>
      <c r="G278" s="50"/>
      <c r="H278" s="124"/>
      <c r="I278" s="51"/>
      <c r="J278" s="116" t="s">
        <v>61</v>
      </c>
      <c r="K278" s="140"/>
      <c r="L278" s="125"/>
      <c r="M278" s="125"/>
      <c r="N278" s="149"/>
      <c r="O278" s="125"/>
      <c r="P278" s="126" t="str">
        <f>(IFERROR(VLOOKUP(K278,[2]Sampling!$A$2:$D$995,4,FALSE),IFERROR(VLOOKUP(K278,'[2]Other Queries'!$A$2:$E$1000,5,FALSE),IFERROR(VLOOKUP(K278,'[2]Statement Confirmation'!$A$2:$F$1000,6,FALSE),""))))</f>
        <v/>
      </c>
      <c r="Q278" s="117"/>
      <c r="R278" s="51"/>
      <c r="S278" s="52" t="s">
        <v>61</v>
      </c>
      <c r="T278" s="53"/>
      <c r="U278" s="53"/>
      <c r="V278" s="54"/>
      <c r="W278" s="55"/>
      <c r="X278" s="116"/>
      <c r="Y278" s="121"/>
      <c r="Z278" s="122"/>
      <c r="AA278" s="122"/>
      <c r="AB278" s="116"/>
      <c r="AC278" s="121"/>
      <c r="AD278" s="122"/>
      <c r="AE278" s="122"/>
      <c r="AF278" s="116"/>
      <c r="AG278" s="123"/>
    </row>
    <row r="279" spans="1:33" s="15" customFormat="1" ht="25.5" customHeight="1" x14ac:dyDescent="0.3">
      <c r="A279" s="131"/>
      <c r="B279" s="50"/>
      <c r="C279" s="50"/>
      <c r="D279" s="49"/>
      <c r="E279" s="127"/>
      <c r="F279" s="50"/>
      <c r="G279" s="50"/>
      <c r="H279" s="124"/>
      <c r="I279" s="51"/>
      <c r="J279" s="116" t="s">
        <v>61</v>
      </c>
      <c r="K279" s="140"/>
      <c r="L279" s="125"/>
      <c r="M279" s="125"/>
      <c r="N279" s="149"/>
      <c r="O279" s="125"/>
      <c r="P279" s="126" t="str">
        <f>(IFERROR(VLOOKUP(K279,[2]Sampling!$A$2:$D$995,4,FALSE),IFERROR(VLOOKUP(K279,'[2]Other Queries'!$A$2:$E$1000,5,FALSE),IFERROR(VLOOKUP(K279,'[2]Statement Confirmation'!$A$2:$F$1000,6,FALSE),""))))</f>
        <v/>
      </c>
      <c r="Q279" s="117"/>
      <c r="R279" s="51"/>
      <c r="S279" s="52" t="s">
        <v>61</v>
      </c>
      <c r="T279" s="53"/>
      <c r="U279" s="53"/>
      <c r="V279" s="54"/>
      <c r="W279" s="55"/>
      <c r="X279" s="116"/>
      <c r="Y279" s="121"/>
      <c r="Z279" s="122"/>
      <c r="AA279" s="122"/>
      <c r="AB279" s="116"/>
      <c r="AC279" s="121"/>
      <c r="AD279" s="122"/>
      <c r="AE279" s="122"/>
      <c r="AF279" s="116"/>
      <c r="AG279" s="123"/>
    </row>
    <row r="280" spans="1:33" s="15" customFormat="1" ht="25.5" customHeight="1" x14ac:dyDescent="0.3">
      <c r="A280" s="131"/>
      <c r="B280" s="50"/>
      <c r="C280" s="50"/>
      <c r="D280" s="49"/>
      <c r="E280" s="127"/>
      <c r="F280" s="50"/>
      <c r="G280" s="50"/>
      <c r="H280" s="124"/>
      <c r="I280" s="51"/>
      <c r="J280" s="116" t="s">
        <v>61</v>
      </c>
      <c r="K280" s="140"/>
      <c r="L280" s="125"/>
      <c r="M280" s="125"/>
      <c r="N280" s="149"/>
      <c r="O280" s="125"/>
      <c r="P280" s="126" t="str">
        <f>(IFERROR(VLOOKUP(K280,[2]Sampling!$A$2:$D$995,4,FALSE),IFERROR(VLOOKUP(K280,'[2]Other Queries'!$A$2:$E$1000,5,FALSE),IFERROR(VLOOKUP(K280,'[2]Statement Confirmation'!$A$2:$F$1000,6,FALSE),""))))</f>
        <v/>
      </c>
      <c r="Q280" s="117"/>
      <c r="R280" s="51"/>
      <c r="S280" s="52" t="s">
        <v>61</v>
      </c>
      <c r="T280" s="53"/>
      <c r="U280" s="53"/>
      <c r="V280" s="54"/>
      <c r="W280" s="55"/>
      <c r="X280" s="116"/>
      <c r="Y280" s="121"/>
      <c r="Z280" s="122"/>
      <c r="AA280" s="122"/>
      <c r="AB280" s="116"/>
      <c r="AC280" s="121"/>
      <c r="AD280" s="122"/>
      <c r="AE280" s="122"/>
      <c r="AF280" s="116"/>
      <c r="AG280" s="123"/>
    </row>
    <row r="281" spans="1:33" s="15" customFormat="1" ht="25.5" customHeight="1" x14ac:dyDescent="0.3">
      <c r="A281" s="131"/>
      <c r="B281" s="50"/>
      <c r="C281" s="50"/>
      <c r="D281" s="49"/>
      <c r="E281" s="127"/>
      <c r="F281" s="50"/>
      <c r="G281" s="50"/>
      <c r="H281" s="124"/>
      <c r="I281" s="51"/>
      <c r="J281" s="116" t="s">
        <v>61</v>
      </c>
      <c r="K281" s="140"/>
      <c r="L281" s="125"/>
      <c r="M281" s="125"/>
      <c r="N281" s="149"/>
      <c r="O281" s="125"/>
      <c r="P281" s="126" t="str">
        <f>(IFERROR(VLOOKUP(K281,[2]Sampling!$A$2:$D$995,4,FALSE),IFERROR(VLOOKUP(K281,'[2]Other Queries'!$A$2:$E$1000,5,FALSE),IFERROR(VLOOKUP(K281,'[2]Statement Confirmation'!$A$2:$F$1000,6,FALSE),""))))</f>
        <v/>
      </c>
      <c r="Q281" s="117"/>
      <c r="R281" s="51"/>
      <c r="S281" s="52" t="s">
        <v>61</v>
      </c>
      <c r="T281" s="53"/>
      <c r="U281" s="53"/>
      <c r="V281" s="54"/>
      <c r="W281" s="55"/>
      <c r="X281" s="116"/>
      <c r="Y281" s="121"/>
      <c r="Z281" s="122"/>
      <c r="AA281" s="122"/>
      <c r="AB281" s="116"/>
      <c r="AC281" s="121"/>
      <c r="AD281" s="122"/>
      <c r="AE281" s="122"/>
      <c r="AF281" s="116"/>
      <c r="AG281" s="123"/>
    </row>
    <row r="282" spans="1:33" s="15" customFormat="1" ht="25.5" customHeight="1" x14ac:dyDescent="0.3">
      <c r="A282" s="131"/>
      <c r="B282" s="50"/>
      <c r="C282" s="50"/>
      <c r="D282" s="49"/>
      <c r="E282" s="127"/>
      <c r="F282" s="50"/>
      <c r="G282" s="50"/>
      <c r="H282" s="124"/>
      <c r="I282" s="51"/>
      <c r="J282" s="116" t="s">
        <v>61</v>
      </c>
      <c r="K282" s="140"/>
      <c r="L282" s="125"/>
      <c r="M282" s="125"/>
      <c r="N282" s="149"/>
      <c r="O282" s="125"/>
      <c r="P282" s="126" t="str">
        <f>(IFERROR(VLOOKUP(K282,[2]Sampling!$A$2:$D$995,4,FALSE),IFERROR(VLOOKUP(K282,'[2]Other Queries'!$A$2:$E$1000,5,FALSE),IFERROR(VLOOKUP(K282,'[2]Statement Confirmation'!$A$2:$F$1000,6,FALSE),""))))</f>
        <v/>
      </c>
      <c r="Q282" s="117"/>
      <c r="R282" s="51"/>
      <c r="S282" s="52" t="s">
        <v>61</v>
      </c>
      <c r="T282" s="53"/>
      <c r="U282" s="53"/>
      <c r="V282" s="54"/>
      <c r="W282" s="55"/>
      <c r="X282" s="116"/>
      <c r="Y282" s="121"/>
      <c r="Z282" s="122"/>
      <c r="AA282" s="122"/>
      <c r="AB282" s="116"/>
      <c r="AC282" s="121"/>
      <c r="AD282" s="122"/>
      <c r="AE282" s="122"/>
      <c r="AF282" s="116"/>
      <c r="AG282" s="123"/>
    </row>
    <row r="283" spans="1:33" s="15" customFormat="1" ht="25.5" customHeight="1" x14ac:dyDescent="0.3">
      <c r="A283" s="131"/>
      <c r="B283" s="50"/>
      <c r="C283" s="50"/>
      <c r="D283" s="49"/>
      <c r="E283" s="127"/>
      <c r="F283" s="50"/>
      <c r="G283" s="50"/>
      <c r="H283" s="124"/>
      <c r="I283" s="51"/>
      <c r="J283" s="116" t="s">
        <v>61</v>
      </c>
      <c r="K283" s="140"/>
      <c r="L283" s="125"/>
      <c r="M283" s="125"/>
      <c r="N283" s="149"/>
      <c r="O283" s="125"/>
      <c r="P283" s="126" t="str">
        <f>(IFERROR(VLOOKUP(K283,[2]Sampling!$A$2:$D$995,4,FALSE),IFERROR(VLOOKUP(K283,'[2]Other Queries'!$A$2:$E$1000,5,FALSE),IFERROR(VLOOKUP(K283,'[2]Statement Confirmation'!$A$2:$F$1000,6,FALSE),""))))</f>
        <v/>
      </c>
      <c r="Q283" s="117"/>
      <c r="R283" s="51"/>
      <c r="S283" s="52" t="s">
        <v>61</v>
      </c>
      <c r="T283" s="53"/>
      <c r="U283" s="53"/>
      <c r="V283" s="54"/>
      <c r="W283" s="55"/>
      <c r="X283" s="116"/>
      <c r="Y283" s="121"/>
      <c r="Z283" s="122"/>
      <c r="AA283" s="122"/>
      <c r="AB283" s="116"/>
      <c r="AC283" s="121"/>
      <c r="AD283" s="122"/>
      <c r="AE283" s="122"/>
      <c r="AF283" s="116"/>
      <c r="AG283" s="123"/>
    </row>
    <row r="284" spans="1:33" s="15" customFormat="1" ht="25.5" customHeight="1" x14ac:dyDescent="0.3">
      <c r="A284" s="131"/>
      <c r="B284" s="50"/>
      <c r="C284" s="50"/>
      <c r="D284" s="49"/>
      <c r="E284" s="127"/>
      <c r="F284" s="50"/>
      <c r="G284" s="50"/>
      <c r="H284" s="124"/>
      <c r="I284" s="51"/>
      <c r="J284" s="116" t="s">
        <v>61</v>
      </c>
      <c r="K284" s="140"/>
      <c r="L284" s="125"/>
      <c r="M284" s="125"/>
      <c r="N284" s="149"/>
      <c r="O284" s="125"/>
      <c r="P284" s="126" t="str">
        <f>(IFERROR(VLOOKUP(K284,[2]Sampling!$A$2:$D$995,4,FALSE),IFERROR(VLOOKUP(K284,'[2]Other Queries'!$A$2:$E$1000,5,FALSE),IFERROR(VLOOKUP(K284,'[2]Statement Confirmation'!$A$2:$F$1000,6,FALSE),""))))</f>
        <v/>
      </c>
      <c r="Q284" s="117"/>
      <c r="R284" s="51"/>
      <c r="S284" s="52" t="s">
        <v>61</v>
      </c>
      <c r="T284" s="53"/>
      <c r="U284" s="53"/>
      <c r="V284" s="54"/>
      <c r="W284" s="55"/>
      <c r="X284" s="116"/>
      <c r="Y284" s="121"/>
      <c r="Z284" s="122"/>
      <c r="AA284" s="122"/>
      <c r="AB284" s="116"/>
      <c r="AC284" s="121"/>
      <c r="AD284" s="122"/>
      <c r="AE284" s="122"/>
      <c r="AF284" s="116"/>
      <c r="AG284" s="123"/>
    </row>
    <row r="285" spans="1:33" s="15" customFormat="1" ht="25.5" customHeight="1" x14ac:dyDescent="0.3">
      <c r="A285" s="131"/>
      <c r="B285" s="50"/>
      <c r="C285" s="50"/>
      <c r="D285" s="49"/>
      <c r="E285" s="127"/>
      <c r="F285" s="50"/>
      <c r="G285" s="50"/>
      <c r="H285" s="124"/>
      <c r="I285" s="51"/>
      <c r="J285" s="116" t="s">
        <v>61</v>
      </c>
      <c r="K285" s="140"/>
      <c r="L285" s="125"/>
      <c r="M285" s="125"/>
      <c r="N285" s="149"/>
      <c r="O285" s="125"/>
      <c r="P285" s="126" t="str">
        <f>(IFERROR(VLOOKUP(K285,[2]Sampling!$A$2:$D$995,4,FALSE),IFERROR(VLOOKUP(K285,'[2]Other Queries'!$A$2:$E$1000,5,FALSE),IFERROR(VLOOKUP(K285,'[2]Statement Confirmation'!$A$2:$F$1000,6,FALSE),""))))</f>
        <v/>
      </c>
      <c r="Q285" s="117"/>
      <c r="R285" s="51"/>
      <c r="S285" s="52" t="s">
        <v>61</v>
      </c>
      <c r="T285" s="53"/>
      <c r="U285" s="53"/>
      <c r="V285" s="54"/>
      <c r="W285" s="55"/>
      <c r="X285" s="116"/>
      <c r="Y285" s="121"/>
      <c r="Z285" s="122"/>
      <c r="AA285" s="122"/>
      <c r="AB285" s="116"/>
      <c r="AC285" s="121"/>
      <c r="AD285" s="122"/>
      <c r="AE285" s="122"/>
      <c r="AF285" s="116"/>
      <c r="AG285" s="123"/>
    </row>
    <row r="286" spans="1:33" s="15" customFormat="1" ht="25.5" customHeight="1" x14ac:dyDescent="0.3">
      <c r="A286" s="131"/>
      <c r="B286" s="50"/>
      <c r="C286" s="50"/>
      <c r="D286" s="49"/>
      <c r="E286" s="127"/>
      <c r="F286" s="50"/>
      <c r="G286" s="50"/>
      <c r="H286" s="124"/>
      <c r="I286" s="51"/>
      <c r="J286" s="116" t="s">
        <v>61</v>
      </c>
      <c r="K286" s="140"/>
      <c r="L286" s="125"/>
      <c r="M286" s="125"/>
      <c r="N286" s="149"/>
      <c r="O286" s="125"/>
      <c r="P286" s="126" t="str">
        <f>(IFERROR(VLOOKUP(K286,[2]Sampling!$A$2:$D$995,4,FALSE),IFERROR(VLOOKUP(K286,'[2]Other Queries'!$A$2:$E$1000,5,FALSE),IFERROR(VLOOKUP(K286,'[2]Statement Confirmation'!$A$2:$F$1000,6,FALSE),""))))</f>
        <v/>
      </c>
      <c r="Q286" s="117"/>
      <c r="R286" s="51"/>
      <c r="S286" s="52" t="s">
        <v>61</v>
      </c>
      <c r="T286" s="53"/>
      <c r="U286" s="53"/>
      <c r="V286" s="54"/>
      <c r="W286" s="55"/>
      <c r="X286" s="116"/>
      <c r="Y286" s="121"/>
      <c r="Z286" s="122"/>
      <c r="AA286" s="122"/>
      <c r="AB286" s="116"/>
      <c r="AC286" s="121"/>
      <c r="AD286" s="122"/>
      <c r="AE286" s="122"/>
      <c r="AF286" s="116"/>
      <c r="AG286" s="123"/>
    </row>
    <row r="287" spans="1:33" s="15" customFormat="1" ht="25.5" customHeight="1" x14ac:dyDescent="0.3">
      <c r="A287" s="131"/>
      <c r="B287" s="50"/>
      <c r="C287" s="50"/>
      <c r="D287" s="49"/>
      <c r="E287" s="127"/>
      <c r="F287" s="50"/>
      <c r="G287" s="50"/>
      <c r="H287" s="124"/>
      <c r="I287" s="51"/>
      <c r="J287" s="116" t="s">
        <v>61</v>
      </c>
      <c r="K287" s="140"/>
      <c r="L287" s="125"/>
      <c r="M287" s="125"/>
      <c r="N287" s="149"/>
      <c r="O287" s="125"/>
      <c r="P287" s="126" t="str">
        <f>(IFERROR(VLOOKUP(K287,[2]Sampling!$A$2:$D$995,4,FALSE),IFERROR(VLOOKUP(K287,'[2]Other Queries'!$A$2:$E$1000,5,FALSE),IFERROR(VLOOKUP(K287,'[2]Statement Confirmation'!$A$2:$F$1000,6,FALSE),""))))</f>
        <v/>
      </c>
      <c r="Q287" s="117"/>
      <c r="R287" s="51"/>
      <c r="S287" s="52" t="s">
        <v>61</v>
      </c>
      <c r="T287" s="53"/>
      <c r="U287" s="53"/>
      <c r="V287" s="54"/>
      <c r="W287" s="55"/>
      <c r="X287" s="116"/>
      <c r="Y287" s="121"/>
      <c r="Z287" s="122"/>
      <c r="AA287" s="122"/>
      <c r="AB287" s="116"/>
      <c r="AC287" s="121"/>
      <c r="AD287" s="122"/>
      <c r="AE287" s="122"/>
      <c r="AF287" s="116"/>
      <c r="AG287" s="123"/>
    </row>
    <row r="288" spans="1:33" s="15" customFormat="1" ht="25.5" customHeight="1" x14ac:dyDescent="0.3">
      <c r="A288" s="131"/>
      <c r="B288" s="50"/>
      <c r="C288" s="50"/>
      <c r="D288" s="49"/>
      <c r="E288" s="127"/>
      <c r="F288" s="50"/>
      <c r="G288" s="50"/>
      <c r="H288" s="124"/>
      <c r="I288" s="51"/>
      <c r="J288" s="116" t="s">
        <v>61</v>
      </c>
      <c r="K288" s="140"/>
      <c r="L288" s="125"/>
      <c r="M288" s="125"/>
      <c r="N288" s="149"/>
      <c r="O288" s="125"/>
      <c r="P288" s="126" t="str">
        <f>(IFERROR(VLOOKUP(K288,[2]Sampling!$A$2:$D$995,4,FALSE),IFERROR(VLOOKUP(K288,'[2]Other Queries'!$A$2:$E$1000,5,FALSE),IFERROR(VLOOKUP(K288,'[2]Statement Confirmation'!$A$2:$F$1000,6,FALSE),""))))</f>
        <v/>
      </c>
      <c r="Q288" s="117"/>
      <c r="R288" s="51"/>
      <c r="S288" s="52" t="s">
        <v>61</v>
      </c>
      <c r="T288" s="53"/>
      <c r="U288" s="53"/>
      <c r="V288" s="54"/>
      <c r="W288" s="55"/>
      <c r="X288" s="116"/>
      <c r="Y288" s="121"/>
      <c r="Z288" s="122"/>
      <c r="AA288" s="122"/>
      <c r="AB288" s="116"/>
      <c r="AC288" s="121"/>
      <c r="AD288" s="122"/>
      <c r="AE288" s="122"/>
      <c r="AF288" s="116"/>
      <c r="AG288" s="123"/>
    </row>
    <row r="289" spans="1:33" s="15" customFormat="1" ht="25.5" customHeight="1" x14ac:dyDescent="0.3">
      <c r="A289" s="131"/>
      <c r="B289" s="50"/>
      <c r="C289" s="50"/>
      <c r="D289" s="49"/>
      <c r="E289" s="127"/>
      <c r="F289" s="50"/>
      <c r="G289" s="50"/>
      <c r="H289" s="124"/>
      <c r="I289" s="51"/>
      <c r="J289" s="116" t="s">
        <v>61</v>
      </c>
      <c r="K289" s="140"/>
      <c r="L289" s="125"/>
      <c r="M289" s="125"/>
      <c r="N289" s="149"/>
      <c r="O289" s="125"/>
      <c r="P289" s="126" t="str">
        <f>(IFERROR(VLOOKUP(K289,[2]Sampling!$A$2:$D$995,4,FALSE),IFERROR(VLOOKUP(K289,'[2]Other Queries'!$A$2:$E$1000,5,FALSE),IFERROR(VLOOKUP(K289,'[2]Statement Confirmation'!$A$2:$F$1000,6,FALSE),""))))</f>
        <v/>
      </c>
      <c r="Q289" s="117"/>
      <c r="R289" s="51"/>
      <c r="S289" s="52" t="s">
        <v>61</v>
      </c>
      <c r="T289" s="53"/>
      <c r="U289" s="53"/>
      <c r="V289" s="54"/>
      <c r="W289" s="55"/>
      <c r="X289" s="116"/>
      <c r="Y289" s="121"/>
      <c r="Z289" s="122"/>
      <c r="AA289" s="122"/>
      <c r="AB289" s="116"/>
      <c r="AC289" s="121"/>
      <c r="AD289" s="122"/>
      <c r="AE289" s="122"/>
      <c r="AF289" s="116"/>
      <c r="AG289" s="123"/>
    </row>
    <row r="290" spans="1:33" s="15" customFormat="1" ht="25.5" customHeight="1" x14ac:dyDescent="0.3">
      <c r="A290" s="131"/>
      <c r="B290" s="50"/>
      <c r="C290" s="50"/>
      <c r="D290" s="49"/>
      <c r="E290" s="127"/>
      <c r="F290" s="50"/>
      <c r="G290" s="50"/>
      <c r="H290" s="124"/>
      <c r="I290" s="51"/>
      <c r="J290" s="116" t="s">
        <v>61</v>
      </c>
      <c r="K290" s="140"/>
      <c r="L290" s="125"/>
      <c r="M290" s="125"/>
      <c r="N290" s="149"/>
      <c r="O290" s="125"/>
      <c r="P290" s="126" t="str">
        <f>(IFERROR(VLOOKUP(K290,[2]Sampling!$A$2:$D$995,4,FALSE),IFERROR(VLOOKUP(K290,'[2]Other Queries'!$A$2:$E$1000,5,FALSE),IFERROR(VLOOKUP(K290,'[2]Statement Confirmation'!$A$2:$F$1000,6,FALSE),""))))</f>
        <v/>
      </c>
      <c r="Q290" s="117"/>
      <c r="R290" s="51"/>
      <c r="S290" s="52" t="s">
        <v>61</v>
      </c>
      <c r="T290" s="53"/>
      <c r="U290" s="53"/>
      <c r="V290" s="54"/>
      <c r="W290" s="55"/>
      <c r="X290" s="116"/>
      <c r="Y290" s="121"/>
      <c r="Z290" s="122"/>
      <c r="AA290" s="122"/>
      <c r="AB290" s="116"/>
      <c r="AC290" s="121"/>
      <c r="AD290" s="122"/>
      <c r="AE290" s="122"/>
      <c r="AF290" s="116"/>
      <c r="AG290" s="123"/>
    </row>
    <row r="291" spans="1:33" s="15" customFormat="1" ht="25.5" customHeight="1" x14ac:dyDescent="0.3">
      <c r="A291" s="131"/>
      <c r="B291" s="50"/>
      <c r="C291" s="50"/>
      <c r="D291" s="49"/>
      <c r="E291" s="127"/>
      <c r="F291" s="50"/>
      <c r="G291" s="50"/>
      <c r="H291" s="124"/>
      <c r="I291" s="51"/>
      <c r="J291" s="116" t="s">
        <v>61</v>
      </c>
      <c r="K291" s="140"/>
      <c r="L291" s="125"/>
      <c r="M291" s="125"/>
      <c r="N291" s="149"/>
      <c r="O291" s="125"/>
      <c r="P291" s="126" t="str">
        <f>(IFERROR(VLOOKUP(K291,[2]Sampling!$A$2:$D$995,4,FALSE),IFERROR(VLOOKUP(K291,'[2]Other Queries'!$A$2:$E$1000,5,FALSE),IFERROR(VLOOKUP(K291,'[2]Statement Confirmation'!$A$2:$F$1000,6,FALSE),""))))</f>
        <v/>
      </c>
      <c r="Q291" s="117"/>
      <c r="R291" s="51"/>
      <c r="S291" s="52" t="s">
        <v>61</v>
      </c>
      <c r="T291" s="53"/>
      <c r="U291" s="53"/>
      <c r="V291" s="54"/>
      <c r="W291" s="55"/>
      <c r="X291" s="116"/>
      <c r="Y291" s="121"/>
      <c r="Z291" s="122"/>
      <c r="AA291" s="122"/>
      <c r="AB291" s="116"/>
      <c r="AC291" s="121"/>
      <c r="AD291" s="122"/>
      <c r="AE291" s="122"/>
      <c r="AF291" s="116"/>
      <c r="AG291" s="123"/>
    </row>
    <row r="292" spans="1:33" s="15" customFormat="1" ht="25.5" customHeight="1" x14ac:dyDescent="0.3">
      <c r="A292" s="131"/>
      <c r="B292" s="50"/>
      <c r="C292" s="50"/>
      <c r="D292" s="49"/>
      <c r="E292" s="127"/>
      <c r="F292" s="50"/>
      <c r="G292" s="50"/>
      <c r="H292" s="124"/>
      <c r="I292" s="51"/>
      <c r="J292" s="116" t="s">
        <v>61</v>
      </c>
      <c r="K292" s="140"/>
      <c r="L292" s="125"/>
      <c r="M292" s="125"/>
      <c r="N292" s="149"/>
      <c r="O292" s="125"/>
      <c r="P292" s="126" t="str">
        <f>(IFERROR(VLOOKUP(K292,[2]Sampling!$A$2:$D$995,4,FALSE),IFERROR(VLOOKUP(K292,'[2]Other Queries'!$A$2:$E$1000,5,FALSE),IFERROR(VLOOKUP(K292,'[2]Statement Confirmation'!$A$2:$F$1000,6,FALSE),""))))</f>
        <v/>
      </c>
      <c r="Q292" s="117"/>
      <c r="R292" s="51"/>
      <c r="S292" s="52" t="s">
        <v>61</v>
      </c>
      <c r="T292" s="53"/>
      <c r="U292" s="53"/>
      <c r="V292" s="54"/>
      <c r="W292" s="55"/>
      <c r="X292" s="116"/>
      <c r="Y292" s="121"/>
      <c r="Z292" s="122"/>
      <c r="AA292" s="122"/>
      <c r="AB292" s="116"/>
      <c r="AC292" s="121"/>
      <c r="AD292" s="122"/>
      <c r="AE292" s="122"/>
      <c r="AF292" s="116"/>
      <c r="AG292" s="123"/>
    </row>
    <row r="293" spans="1:33" s="15" customFormat="1" ht="25.5" customHeight="1" x14ac:dyDescent="0.3">
      <c r="A293" s="131"/>
      <c r="B293" s="50"/>
      <c r="C293" s="50"/>
      <c r="D293" s="49"/>
      <c r="E293" s="127"/>
      <c r="F293" s="50"/>
      <c r="G293" s="50"/>
      <c r="H293" s="124"/>
      <c r="I293" s="51"/>
      <c r="J293" s="116" t="s">
        <v>61</v>
      </c>
      <c r="K293" s="140"/>
      <c r="L293" s="125"/>
      <c r="M293" s="125"/>
      <c r="N293" s="149"/>
      <c r="O293" s="125"/>
      <c r="P293" s="126" t="str">
        <f>(IFERROR(VLOOKUP(K293,[2]Sampling!$A$2:$D$995,4,FALSE),IFERROR(VLOOKUP(K293,'[2]Other Queries'!$A$2:$E$1000,5,FALSE),IFERROR(VLOOKUP(K293,'[2]Statement Confirmation'!$A$2:$F$1000,6,FALSE),""))))</f>
        <v/>
      </c>
      <c r="Q293" s="117"/>
      <c r="R293" s="51"/>
      <c r="S293" s="52" t="s">
        <v>61</v>
      </c>
      <c r="T293" s="53"/>
      <c r="U293" s="53"/>
      <c r="V293" s="54"/>
      <c r="W293" s="55"/>
      <c r="X293" s="116"/>
      <c r="Y293" s="121"/>
      <c r="Z293" s="122"/>
      <c r="AA293" s="122"/>
      <c r="AB293" s="116"/>
      <c r="AC293" s="121"/>
      <c r="AD293" s="122"/>
      <c r="AE293" s="122"/>
      <c r="AF293" s="116"/>
      <c r="AG293" s="123"/>
    </row>
    <row r="294" spans="1:33" s="15" customFormat="1" ht="25.5" customHeight="1" x14ac:dyDescent="0.3">
      <c r="A294" s="131"/>
      <c r="B294" s="50"/>
      <c r="C294" s="50"/>
      <c r="D294" s="49"/>
      <c r="E294" s="127"/>
      <c r="F294" s="50"/>
      <c r="G294" s="50"/>
      <c r="H294" s="124"/>
      <c r="I294" s="51"/>
      <c r="J294" s="116" t="s">
        <v>61</v>
      </c>
      <c r="K294" s="140"/>
      <c r="L294" s="125"/>
      <c r="M294" s="125"/>
      <c r="N294" s="149"/>
      <c r="O294" s="125"/>
      <c r="P294" s="126" t="str">
        <f>(IFERROR(VLOOKUP(K294,[2]Sampling!$A$2:$D$995,4,FALSE),IFERROR(VLOOKUP(K294,'[2]Other Queries'!$A$2:$E$1000,5,FALSE),IFERROR(VLOOKUP(K294,'[2]Statement Confirmation'!$A$2:$F$1000,6,FALSE),""))))</f>
        <v/>
      </c>
      <c r="Q294" s="117"/>
      <c r="R294" s="51"/>
      <c r="S294" s="52" t="s">
        <v>61</v>
      </c>
      <c r="T294" s="53"/>
      <c r="U294" s="53"/>
      <c r="V294" s="54"/>
      <c r="W294" s="55"/>
      <c r="X294" s="116"/>
      <c r="Y294" s="121"/>
      <c r="Z294" s="122"/>
      <c r="AA294" s="122"/>
      <c r="AB294" s="116"/>
      <c r="AC294" s="121"/>
      <c r="AD294" s="122"/>
      <c r="AE294" s="122"/>
      <c r="AF294" s="116"/>
      <c r="AG294" s="123"/>
    </row>
    <row r="295" spans="1:33" s="15" customFormat="1" ht="25.5" customHeight="1" x14ac:dyDescent="0.3">
      <c r="A295" s="131"/>
      <c r="B295" s="50"/>
      <c r="C295" s="50"/>
      <c r="D295" s="49"/>
      <c r="E295" s="127"/>
      <c r="F295" s="50"/>
      <c r="G295" s="50"/>
      <c r="H295" s="124"/>
      <c r="I295" s="51"/>
      <c r="J295" s="116" t="s">
        <v>61</v>
      </c>
      <c r="K295" s="140"/>
      <c r="L295" s="125"/>
      <c r="M295" s="125"/>
      <c r="N295" s="149"/>
      <c r="O295" s="125"/>
      <c r="P295" s="126" t="str">
        <f>(IFERROR(VLOOKUP(K295,[2]Sampling!$A$2:$D$995,4,FALSE),IFERROR(VLOOKUP(K295,'[2]Other Queries'!$A$2:$E$1000,5,FALSE),IFERROR(VLOOKUP(K295,'[2]Statement Confirmation'!$A$2:$F$1000,6,FALSE),""))))</f>
        <v/>
      </c>
      <c r="Q295" s="117"/>
      <c r="R295" s="51"/>
      <c r="S295" s="52" t="s">
        <v>61</v>
      </c>
      <c r="T295" s="53"/>
      <c r="U295" s="53"/>
      <c r="V295" s="54"/>
      <c r="W295" s="55"/>
      <c r="X295" s="116"/>
      <c r="Y295" s="121"/>
      <c r="Z295" s="122"/>
      <c r="AA295" s="122"/>
      <c r="AB295" s="116"/>
      <c r="AC295" s="121"/>
      <c r="AD295" s="122"/>
      <c r="AE295" s="122"/>
      <c r="AF295" s="116"/>
      <c r="AG295" s="123"/>
    </row>
    <row r="296" spans="1:33" s="15" customFormat="1" ht="25.5" customHeight="1" x14ac:dyDescent="0.3">
      <c r="A296" s="131"/>
      <c r="B296" s="50"/>
      <c r="C296" s="50"/>
      <c r="D296" s="49"/>
      <c r="E296" s="127"/>
      <c r="F296" s="50"/>
      <c r="G296" s="50"/>
      <c r="H296" s="124"/>
      <c r="I296" s="51"/>
      <c r="J296" s="116" t="s">
        <v>61</v>
      </c>
      <c r="K296" s="140"/>
      <c r="L296" s="125"/>
      <c r="M296" s="125"/>
      <c r="N296" s="149"/>
      <c r="O296" s="125"/>
      <c r="P296" s="126" t="str">
        <f>(IFERROR(VLOOKUP(K296,[2]Sampling!$A$2:$D$995,4,FALSE),IFERROR(VLOOKUP(K296,'[2]Other Queries'!$A$2:$E$1000,5,FALSE),IFERROR(VLOOKUP(K296,'[2]Statement Confirmation'!$A$2:$F$1000,6,FALSE),""))))</f>
        <v/>
      </c>
      <c r="Q296" s="117"/>
      <c r="R296" s="51"/>
      <c r="S296" s="52" t="s">
        <v>61</v>
      </c>
      <c r="T296" s="53"/>
      <c r="U296" s="53"/>
      <c r="V296" s="54"/>
      <c r="W296" s="55"/>
      <c r="X296" s="116"/>
      <c r="Y296" s="121"/>
      <c r="Z296" s="122"/>
      <c r="AA296" s="122"/>
      <c r="AB296" s="116"/>
      <c r="AC296" s="121"/>
      <c r="AD296" s="122"/>
      <c r="AE296" s="122"/>
      <c r="AF296" s="116"/>
      <c r="AG296" s="123"/>
    </row>
    <row r="297" spans="1:33" s="15" customFormat="1" ht="25.5" customHeight="1" x14ac:dyDescent="0.3">
      <c r="A297" s="131"/>
      <c r="B297" s="50"/>
      <c r="C297" s="50"/>
      <c r="D297" s="49"/>
      <c r="E297" s="127"/>
      <c r="F297" s="50"/>
      <c r="G297" s="50"/>
      <c r="H297" s="124"/>
      <c r="I297" s="51"/>
      <c r="J297" s="116" t="s">
        <v>61</v>
      </c>
      <c r="K297" s="140"/>
      <c r="L297" s="125"/>
      <c r="M297" s="125"/>
      <c r="N297" s="149"/>
      <c r="O297" s="125"/>
      <c r="P297" s="126" t="str">
        <f>(IFERROR(VLOOKUP(K297,[2]Sampling!$A$2:$D$995,4,FALSE),IFERROR(VLOOKUP(K297,'[2]Other Queries'!$A$2:$E$1000,5,FALSE),IFERROR(VLOOKUP(K297,'[2]Statement Confirmation'!$A$2:$F$1000,6,FALSE),""))))</f>
        <v/>
      </c>
      <c r="Q297" s="117"/>
      <c r="R297" s="51"/>
      <c r="S297" s="52" t="s">
        <v>61</v>
      </c>
      <c r="T297" s="53"/>
      <c r="U297" s="53"/>
      <c r="V297" s="54"/>
      <c r="W297" s="55"/>
      <c r="X297" s="116"/>
      <c r="Y297" s="121"/>
      <c r="Z297" s="122"/>
      <c r="AA297" s="122"/>
      <c r="AB297" s="116"/>
      <c r="AC297" s="121"/>
      <c r="AD297" s="122"/>
      <c r="AE297" s="122"/>
      <c r="AF297" s="116"/>
      <c r="AG297" s="123"/>
    </row>
    <row r="298" spans="1:33" s="15" customFormat="1" ht="25.5" customHeight="1" x14ac:dyDescent="0.3">
      <c r="A298" s="131"/>
      <c r="B298" s="50"/>
      <c r="C298" s="50"/>
      <c r="D298" s="49"/>
      <c r="E298" s="127"/>
      <c r="F298" s="50"/>
      <c r="G298" s="50"/>
      <c r="H298" s="124"/>
      <c r="I298" s="51"/>
      <c r="J298" s="116" t="s">
        <v>61</v>
      </c>
      <c r="K298" s="140"/>
      <c r="L298" s="125"/>
      <c r="M298" s="125"/>
      <c r="N298" s="149"/>
      <c r="O298" s="125"/>
      <c r="P298" s="126" t="str">
        <f>(IFERROR(VLOOKUP(K298,[2]Sampling!$A$2:$D$995,4,FALSE),IFERROR(VLOOKUP(K298,'[2]Other Queries'!$A$2:$E$1000,5,FALSE),IFERROR(VLOOKUP(K298,'[2]Statement Confirmation'!$A$2:$F$1000,6,FALSE),""))))</f>
        <v/>
      </c>
      <c r="Q298" s="117"/>
      <c r="R298" s="51"/>
      <c r="S298" s="52" t="s">
        <v>61</v>
      </c>
      <c r="T298" s="53"/>
      <c r="U298" s="53"/>
      <c r="V298" s="54"/>
      <c r="W298" s="55"/>
      <c r="X298" s="116"/>
      <c r="Y298" s="121"/>
      <c r="Z298" s="122"/>
      <c r="AA298" s="122"/>
      <c r="AB298" s="116"/>
      <c r="AC298" s="121"/>
      <c r="AD298" s="122"/>
      <c r="AE298" s="122"/>
      <c r="AF298" s="116"/>
      <c r="AG298" s="123"/>
    </row>
    <row r="299" spans="1:33" s="15" customFormat="1" ht="25.5" customHeight="1" x14ac:dyDescent="0.3">
      <c r="A299" s="131"/>
      <c r="B299" s="50"/>
      <c r="C299" s="50"/>
      <c r="D299" s="49"/>
      <c r="E299" s="127"/>
      <c r="F299" s="50"/>
      <c r="G299" s="50"/>
      <c r="H299" s="124"/>
      <c r="I299" s="51"/>
      <c r="J299" s="116" t="s">
        <v>61</v>
      </c>
      <c r="K299" s="140"/>
      <c r="L299" s="125"/>
      <c r="M299" s="125"/>
      <c r="N299" s="149"/>
      <c r="O299" s="125"/>
      <c r="P299" s="126" t="str">
        <f>(IFERROR(VLOOKUP(K299,[2]Sampling!$A$2:$D$995,4,FALSE),IFERROR(VLOOKUP(K299,'[2]Other Queries'!$A$2:$E$1000,5,FALSE),IFERROR(VLOOKUP(K299,'[2]Statement Confirmation'!$A$2:$F$1000,6,FALSE),""))))</f>
        <v/>
      </c>
      <c r="Q299" s="117"/>
      <c r="R299" s="51"/>
      <c r="S299" s="52" t="s">
        <v>61</v>
      </c>
      <c r="T299" s="53"/>
      <c r="U299" s="53"/>
      <c r="V299" s="54"/>
      <c r="W299" s="55"/>
      <c r="X299" s="116"/>
      <c r="Y299" s="121"/>
      <c r="Z299" s="122"/>
      <c r="AA299" s="122"/>
      <c r="AB299" s="116"/>
      <c r="AC299" s="121"/>
      <c r="AD299" s="122"/>
      <c r="AE299" s="122"/>
      <c r="AF299" s="116"/>
      <c r="AG299" s="123"/>
    </row>
    <row r="300" spans="1:33" s="15" customFormat="1" ht="25.5" customHeight="1" x14ac:dyDescent="0.3">
      <c r="A300" s="131"/>
      <c r="B300" s="50"/>
      <c r="C300" s="50"/>
      <c r="D300" s="49"/>
      <c r="E300" s="127"/>
      <c r="F300" s="50"/>
      <c r="G300" s="50"/>
      <c r="H300" s="124"/>
      <c r="I300" s="51"/>
      <c r="J300" s="116" t="s">
        <v>61</v>
      </c>
      <c r="K300" s="140"/>
      <c r="L300" s="125"/>
      <c r="M300" s="125"/>
      <c r="N300" s="149"/>
      <c r="O300" s="125"/>
      <c r="P300" s="126" t="str">
        <f>(IFERROR(VLOOKUP(K300,[2]Sampling!$A$2:$D$995,4,FALSE),IFERROR(VLOOKUP(K300,'[2]Other Queries'!$A$2:$E$1000,5,FALSE),IFERROR(VLOOKUP(K300,'[2]Statement Confirmation'!$A$2:$F$1000,6,FALSE),""))))</f>
        <v/>
      </c>
      <c r="Q300" s="117"/>
      <c r="R300" s="51"/>
      <c r="S300" s="52" t="s">
        <v>61</v>
      </c>
      <c r="T300" s="53"/>
      <c r="U300" s="53"/>
      <c r="V300" s="54"/>
      <c r="W300" s="55"/>
      <c r="X300" s="116"/>
      <c r="Y300" s="121"/>
      <c r="Z300" s="122"/>
      <c r="AA300" s="122"/>
      <c r="AB300" s="116"/>
      <c r="AC300" s="121"/>
      <c r="AD300" s="122"/>
      <c r="AE300" s="122"/>
      <c r="AF300" s="116"/>
      <c r="AG300" s="123"/>
    </row>
    <row r="301" spans="1:33" s="15" customFormat="1" ht="25.5" customHeight="1" x14ac:dyDescent="0.3">
      <c r="A301" s="131"/>
      <c r="B301" s="50"/>
      <c r="C301" s="50"/>
      <c r="D301" s="49"/>
      <c r="E301" s="127"/>
      <c r="F301" s="50"/>
      <c r="G301" s="50"/>
      <c r="H301" s="124"/>
      <c r="I301" s="51"/>
      <c r="J301" s="116" t="s">
        <v>61</v>
      </c>
      <c r="K301" s="140"/>
      <c r="L301" s="125"/>
      <c r="M301" s="125"/>
      <c r="N301" s="149"/>
      <c r="O301" s="125"/>
      <c r="P301" s="126" t="str">
        <f>(IFERROR(VLOOKUP(K301,[2]Sampling!$A$2:$D$995,4,FALSE),IFERROR(VLOOKUP(K301,'[2]Other Queries'!$A$2:$E$1000,5,FALSE),IFERROR(VLOOKUP(K301,'[2]Statement Confirmation'!$A$2:$F$1000,6,FALSE),""))))</f>
        <v/>
      </c>
      <c r="Q301" s="117"/>
      <c r="R301" s="51"/>
      <c r="S301" s="52" t="s">
        <v>61</v>
      </c>
      <c r="T301" s="53"/>
      <c r="U301" s="53"/>
      <c r="V301" s="54" t="str">
        <f t="shared" ref="V301:V332" ca="1" si="1">IF(ISBLANK(T301),"",TODAY())</f>
        <v/>
      </c>
      <c r="W301" s="55"/>
      <c r="X301" s="116"/>
      <c r="Y301" s="121"/>
      <c r="Z301" s="122"/>
      <c r="AA301" s="122"/>
      <c r="AB301" s="116"/>
      <c r="AC301" s="121"/>
      <c r="AD301" s="122"/>
      <c r="AE301" s="122"/>
      <c r="AF301" s="116"/>
      <c r="AG301" s="123"/>
    </row>
    <row r="302" spans="1:33" s="15" customFormat="1" ht="25.5" customHeight="1" x14ac:dyDescent="0.3">
      <c r="A302" s="131"/>
      <c r="B302" s="50"/>
      <c r="C302" s="50"/>
      <c r="D302" s="49"/>
      <c r="E302" s="127"/>
      <c r="F302" s="50"/>
      <c r="G302" s="50"/>
      <c r="H302" s="124"/>
      <c r="I302" s="51"/>
      <c r="J302" s="116" t="s">
        <v>61</v>
      </c>
      <c r="K302" s="140"/>
      <c r="L302" s="125"/>
      <c r="M302" s="125"/>
      <c r="N302" s="149"/>
      <c r="O302" s="125"/>
      <c r="P302" s="126" t="str">
        <f>(IFERROR(VLOOKUP(K302,[2]Sampling!$A$2:$D$995,4,FALSE),IFERROR(VLOOKUP(K302,'[2]Other Queries'!$A$2:$E$1000,5,FALSE),IFERROR(VLOOKUP(K302,'[2]Statement Confirmation'!$A$2:$F$1000,6,FALSE),""))))</f>
        <v/>
      </c>
      <c r="Q302" s="117"/>
      <c r="R302" s="51"/>
      <c r="S302" s="52" t="s">
        <v>61</v>
      </c>
      <c r="T302" s="53"/>
      <c r="U302" s="53"/>
      <c r="V302" s="54" t="str">
        <f t="shared" ca="1" si="1"/>
        <v/>
      </c>
      <c r="W302" s="55"/>
      <c r="X302" s="116"/>
      <c r="Y302" s="121"/>
      <c r="Z302" s="122"/>
      <c r="AA302" s="122"/>
      <c r="AB302" s="116"/>
      <c r="AC302" s="121"/>
      <c r="AD302" s="122"/>
      <c r="AE302" s="122"/>
      <c r="AF302" s="116"/>
      <c r="AG302" s="123"/>
    </row>
    <row r="303" spans="1:33" s="15" customFormat="1" ht="25.5" customHeight="1" x14ac:dyDescent="0.3">
      <c r="A303" s="131"/>
      <c r="B303" s="50"/>
      <c r="C303" s="50"/>
      <c r="D303" s="49"/>
      <c r="E303" s="127"/>
      <c r="F303" s="50"/>
      <c r="G303" s="50"/>
      <c r="H303" s="124"/>
      <c r="I303" s="51"/>
      <c r="J303" s="116" t="s">
        <v>61</v>
      </c>
      <c r="K303" s="140"/>
      <c r="L303" s="125"/>
      <c r="M303" s="125"/>
      <c r="N303" s="149"/>
      <c r="O303" s="125"/>
      <c r="P303" s="126" t="str">
        <f>(IFERROR(VLOOKUP(K303,[2]Sampling!$A$2:$D$995,4,FALSE),IFERROR(VLOOKUP(K303,'[2]Other Queries'!$A$2:$E$1000,5,FALSE),IFERROR(VLOOKUP(K303,'[2]Statement Confirmation'!$A$2:$F$1000,6,FALSE),""))))</f>
        <v/>
      </c>
      <c r="Q303" s="117"/>
      <c r="R303" s="51"/>
      <c r="S303" s="52" t="s">
        <v>61</v>
      </c>
      <c r="T303" s="53"/>
      <c r="U303" s="53"/>
      <c r="V303" s="54" t="str">
        <f t="shared" ca="1" si="1"/>
        <v/>
      </c>
      <c r="W303" s="55"/>
      <c r="X303" s="116"/>
      <c r="Y303" s="121"/>
      <c r="Z303" s="122"/>
      <c r="AA303" s="122"/>
      <c r="AB303" s="116"/>
      <c r="AC303" s="121"/>
      <c r="AD303" s="122"/>
      <c r="AE303" s="122"/>
      <c r="AF303" s="116"/>
      <c r="AG303" s="123"/>
    </row>
    <row r="304" spans="1:33" s="15" customFormat="1" ht="25.5" customHeight="1" x14ac:dyDescent="0.3">
      <c r="A304" s="131"/>
      <c r="B304" s="50"/>
      <c r="C304" s="50"/>
      <c r="D304" s="49"/>
      <c r="E304" s="127"/>
      <c r="F304" s="50"/>
      <c r="G304" s="50"/>
      <c r="H304" s="124"/>
      <c r="I304" s="51"/>
      <c r="J304" s="116" t="s">
        <v>61</v>
      </c>
      <c r="K304" s="140"/>
      <c r="L304" s="125"/>
      <c r="M304" s="125"/>
      <c r="N304" s="149"/>
      <c r="O304" s="125"/>
      <c r="P304" s="126" t="str">
        <f>(IFERROR(VLOOKUP(K304,[2]Sampling!$A$2:$D$995,4,FALSE),IFERROR(VLOOKUP(K304,'[2]Other Queries'!$A$2:$E$1000,5,FALSE),IFERROR(VLOOKUP(K304,'[2]Statement Confirmation'!$A$2:$F$1000,6,FALSE),""))))</f>
        <v/>
      </c>
      <c r="Q304" s="117"/>
      <c r="R304" s="51"/>
      <c r="S304" s="52" t="s">
        <v>61</v>
      </c>
      <c r="T304" s="53"/>
      <c r="U304" s="53"/>
      <c r="V304" s="54" t="str">
        <f t="shared" ca="1" si="1"/>
        <v/>
      </c>
      <c r="W304" s="55"/>
      <c r="X304" s="116"/>
      <c r="Y304" s="121"/>
      <c r="Z304" s="122"/>
      <c r="AA304" s="122"/>
      <c r="AB304" s="116"/>
      <c r="AC304" s="121"/>
      <c r="AD304" s="122"/>
      <c r="AE304" s="122"/>
      <c r="AF304" s="116"/>
      <c r="AG304" s="123"/>
    </row>
    <row r="305" spans="1:33" s="15" customFormat="1" ht="25.5" customHeight="1" x14ac:dyDescent="0.3">
      <c r="A305" s="131"/>
      <c r="B305" s="50"/>
      <c r="C305" s="50"/>
      <c r="D305" s="49"/>
      <c r="E305" s="127"/>
      <c r="F305" s="50"/>
      <c r="G305" s="50"/>
      <c r="H305" s="124"/>
      <c r="I305" s="51"/>
      <c r="J305" s="116" t="s">
        <v>61</v>
      </c>
      <c r="K305" s="140"/>
      <c r="L305" s="125"/>
      <c r="M305" s="125"/>
      <c r="N305" s="149"/>
      <c r="O305" s="125"/>
      <c r="P305" s="126" t="str">
        <f>(IFERROR(VLOOKUP(K305,[2]Sampling!$A$2:$D$995,4,FALSE),IFERROR(VLOOKUP(K305,'[2]Other Queries'!$A$2:$E$1000,5,FALSE),IFERROR(VLOOKUP(K305,'[2]Statement Confirmation'!$A$2:$F$1000,6,FALSE),""))))</f>
        <v/>
      </c>
      <c r="Q305" s="117"/>
      <c r="R305" s="51"/>
      <c r="S305" s="52" t="s">
        <v>61</v>
      </c>
      <c r="T305" s="53"/>
      <c r="U305" s="53"/>
      <c r="V305" s="54" t="str">
        <f t="shared" ca="1" si="1"/>
        <v/>
      </c>
      <c r="W305" s="55"/>
      <c r="X305" s="116"/>
      <c r="Y305" s="121"/>
      <c r="Z305" s="122"/>
      <c r="AA305" s="122"/>
      <c r="AB305" s="116"/>
      <c r="AC305" s="121"/>
      <c r="AD305" s="122"/>
      <c r="AE305" s="122"/>
      <c r="AF305" s="116"/>
      <c r="AG305" s="123"/>
    </row>
    <row r="306" spans="1:33" s="15" customFormat="1" ht="25.5" customHeight="1" x14ac:dyDescent="0.3">
      <c r="A306" s="131"/>
      <c r="B306" s="50"/>
      <c r="C306" s="50"/>
      <c r="D306" s="49"/>
      <c r="E306" s="127"/>
      <c r="F306" s="50"/>
      <c r="G306" s="50"/>
      <c r="H306" s="124"/>
      <c r="I306" s="51"/>
      <c r="J306" s="116" t="s">
        <v>61</v>
      </c>
      <c r="K306" s="140"/>
      <c r="L306" s="125"/>
      <c r="M306" s="125"/>
      <c r="N306" s="149"/>
      <c r="O306" s="125"/>
      <c r="P306" s="126" t="str">
        <f>(IFERROR(VLOOKUP(K306,[2]Sampling!$A$2:$D$995,4,FALSE),IFERROR(VLOOKUP(K306,'[2]Other Queries'!$A$2:$E$1000,5,FALSE),IFERROR(VLOOKUP(K306,'[2]Statement Confirmation'!$A$2:$F$1000,6,FALSE),""))))</f>
        <v/>
      </c>
      <c r="Q306" s="117"/>
      <c r="R306" s="51"/>
      <c r="S306" s="52" t="s">
        <v>61</v>
      </c>
      <c r="T306" s="53"/>
      <c r="U306" s="53"/>
      <c r="V306" s="54" t="str">
        <f t="shared" ca="1" si="1"/>
        <v/>
      </c>
      <c r="W306" s="55"/>
      <c r="X306" s="116"/>
      <c r="Y306" s="121"/>
      <c r="Z306" s="122"/>
      <c r="AA306" s="122"/>
      <c r="AB306" s="116"/>
      <c r="AC306" s="121"/>
      <c r="AD306" s="122"/>
      <c r="AE306" s="122"/>
      <c r="AF306" s="116"/>
      <c r="AG306" s="123"/>
    </row>
    <row r="307" spans="1:33" s="15" customFormat="1" ht="25.5" customHeight="1" x14ac:dyDescent="0.3">
      <c r="A307" s="131"/>
      <c r="B307" s="50"/>
      <c r="C307" s="50"/>
      <c r="D307" s="49"/>
      <c r="E307" s="127"/>
      <c r="F307" s="50"/>
      <c r="G307" s="50"/>
      <c r="H307" s="124"/>
      <c r="I307" s="51"/>
      <c r="J307" s="116" t="s">
        <v>61</v>
      </c>
      <c r="K307" s="140"/>
      <c r="L307" s="125"/>
      <c r="M307" s="125"/>
      <c r="N307" s="149"/>
      <c r="O307" s="125"/>
      <c r="P307" s="126" t="str">
        <f>(IFERROR(VLOOKUP(K307,[2]Sampling!$A$2:$D$995,4,FALSE),IFERROR(VLOOKUP(K307,'[2]Other Queries'!$A$2:$E$1000,5,FALSE),IFERROR(VLOOKUP(K307,'[2]Statement Confirmation'!$A$2:$F$1000,6,FALSE),""))))</f>
        <v/>
      </c>
      <c r="Q307" s="117"/>
      <c r="R307" s="51"/>
      <c r="S307" s="52" t="s">
        <v>61</v>
      </c>
      <c r="T307" s="53"/>
      <c r="U307" s="53"/>
      <c r="V307" s="54" t="str">
        <f t="shared" ca="1" si="1"/>
        <v/>
      </c>
      <c r="W307" s="55"/>
      <c r="X307" s="116"/>
      <c r="Y307" s="121"/>
      <c r="Z307" s="122"/>
      <c r="AA307" s="122"/>
      <c r="AB307" s="116"/>
      <c r="AC307" s="121"/>
      <c r="AD307" s="122"/>
      <c r="AE307" s="122"/>
      <c r="AF307" s="116"/>
      <c r="AG307" s="123"/>
    </row>
    <row r="308" spans="1:33" s="15" customFormat="1" ht="25.5" customHeight="1" x14ac:dyDescent="0.3">
      <c r="A308" s="131"/>
      <c r="B308" s="50"/>
      <c r="C308" s="50"/>
      <c r="D308" s="49"/>
      <c r="E308" s="127"/>
      <c r="F308" s="50"/>
      <c r="G308" s="50"/>
      <c r="H308" s="124"/>
      <c r="I308" s="51"/>
      <c r="J308" s="116" t="s">
        <v>61</v>
      </c>
      <c r="K308" s="140"/>
      <c r="L308" s="125"/>
      <c r="M308" s="125"/>
      <c r="N308" s="149"/>
      <c r="O308" s="125"/>
      <c r="P308" s="126" t="str">
        <f>(IFERROR(VLOOKUP(K308,[2]Sampling!$A$2:$D$995,4,FALSE),IFERROR(VLOOKUP(K308,'[2]Other Queries'!$A$2:$E$1000,5,FALSE),IFERROR(VLOOKUP(K308,'[2]Statement Confirmation'!$A$2:$F$1000,6,FALSE),""))))</f>
        <v/>
      </c>
      <c r="Q308" s="117"/>
      <c r="R308" s="51"/>
      <c r="S308" s="52" t="s">
        <v>61</v>
      </c>
      <c r="T308" s="53"/>
      <c r="U308" s="53"/>
      <c r="V308" s="54" t="str">
        <f t="shared" ca="1" si="1"/>
        <v/>
      </c>
      <c r="W308" s="55"/>
      <c r="X308" s="116"/>
      <c r="Y308" s="121"/>
      <c r="Z308" s="122"/>
      <c r="AA308" s="122"/>
      <c r="AB308" s="116"/>
      <c r="AC308" s="121"/>
      <c r="AD308" s="122"/>
      <c r="AE308" s="122"/>
      <c r="AF308" s="116"/>
      <c r="AG308" s="123"/>
    </row>
    <row r="309" spans="1:33" s="15" customFormat="1" ht="25.5" customHeight="1" x14ac:dyDescent="0.3">
      <c r="A309" s="131"/>
      <c r="B309" s="50"/>
      <c r="C309" s="50"/>
      <c r="D309" s="49"/>
      <c r="E309" s="127"/>
      <c r="F309" s="50"/>
      <c r="G309" s="50"/>
      <c r="H309" s="124"/>
      <c r="I309" s="51"/>
      <c r="J309" s="116" t="s">
        <v>61</v>
      </c>
      <c r="K309" s="140"/>
      <c r="L309" s="125"/>
      <c r="M309" s="125"/>
      <c r="N309" s="149"/>
      <c r="O309" s="125"/>
      <c r="P309" s="126" t="str">
        <f>(IFERROR(VLOOKUP(K309,[2]Sampling!$A$2:$D$995,4,FALSE),IFERROR(VLOOKUP(K309,'[2]Other Queries'!$A$2:$E$1000,5,FALSE),IFERROR(VLOOKUP(K309,'[2]Statement Confirmation'!$A$2:$F$1000,6,FALSE),""))))</f>
        <v/>
      </c>
      <c r="Q309" s="117"/>
      <c r="R309" s="51"/>
      <c r="S309" s="52" t="s">
        <v>61</v>
      </c>
      <c r="T309" s="53"/>
      <c r="U309" s="53"/>
      <c r="V309" s="54" t="str">
        <f t="shared" ca="1" si="1"/>
        <v/>
      </c>
      <c r="W309" s="55"/>
      <c r="X309" s="116"/>
      <c r="Y309" s="121"/>
      <c r="Z309" s="122"/>
      <c r="AA309" s="122"/>
      <c r="AB309" s="116"/>
      <c r="AC309" s="121"/>
      <c r="AD309" s="122"/>
      <c r="AE309" s="122"/>
      <c r="AF309" s="116"/>
      <c r="AG309" s="123"/>
    </row>
    <row r="310" spans="1:33" s="15" customFormat="1" ht="25.5" customHeight="1" x14ac:dyDescent="0.3">
      <c r="A310" s="131"/>
      <c r="B310" s="50"/>
      <c r="C310" s="50"/>
      <c r="D310" s="49"/>
      <c r="E310" s="127"/>
      <c r="F310" s="50"/>
      <c r="G310" s="50"/>
      <c r="H310" s="124"/>
      <c r="I310" s="51"/>
      <c r="J310" s="116" t="s">
        <v>61</v>
      </c>
      <c r="K310" s="140"/>
      <c r="L310" s="125"/>
      <c r="M310" s="125"/>
      <c r="N310" s="149"/>
      <c r="O310" s="125"/>
      <c r="P310" s="126" t="str">
        <f>(IFERROR(VLOOKUP(K310,[2]Sampling!$A$2:$D$995,4,FALSE),IFERROR(VLOOKUP(K310,'[2]Other Queries'!$A$2:$E$1000,5,FALSE),IFERROR(VLOOKUP(K310,'[2]Statement Confirmation'!$A$2:$F$1000,6,FALSE),""))))</f>
        <v/>
      </c>
      <c r="Q310" s="117"/>
      <c r="R310" s="51"/>
      <c r="S310" s="52" t="s">
        <v>61</v>
      </c>
      <c r="T310" s="53"/>
      <c r="U310" s="53"/>
      <c r="V310" s="54" t="str">
        <f t="shared" ca="1" si="1"/>
        <v/>
      </c>
      <c r="W310" s="55"/>
      <c r="X310" s="116"/>
      <c r="Y310" s="121"/>
      <c r="Z310" s="122"/>
      <c r="AA310" s="122"/>
      <c r="AB310" s="116"/>
      <c r="AC310" s="121"/>
      <c r="AD310" s="122"/>
      <c r="AE310" s="122"/>
      <c r="AF310" s="116"/>
      <c r="AG310" s="123"/>
    </row>
    <row r="311" spans="1:33" s="15" customFormat="1" ht="25.5" customHeight="1" x14ac:dyDescent="0.3">
      <c r="A311" s="131"/>
      <c r="B311" s="50"/>
      <c r="C311" s="50"/>
      <c r="D311" s="49"/>
      <c r="E311" s="127"/>
      <c r="F311" s="50"/>
      <c r="G311" s="50"/>
      <c r="H311" s="124"/>
      <c r="I311" s="51"/>
      <c r="J311" s="116" t="s">
        <v>61</v>
      </c>
      <c r="K311" s="140"/>
      <c r="L311" s="125"/>
      <c r="M311" s="125"/>
      <c r="N311" s="149"/>
      <c r="O311" s="125"/>
      <c r="P311" s="126" t="str">
        <f>(IFERROR(VLOOKUP(K311,[2]Sampling!$A$2:$D$995,4,FALSE),IFERROR(VLOOKUP(K311,'[2]Other Queries'!$A$2:$E$1000,5,FALSE),IFERROR(VLOOKUP(K311,'[2]Statement Confirmation'!$A$2:$F$1000,6,FALSE),""))))</f>
        <v/>
      </c>
      <c r="Q311" s="117"/>
      <c r="R311" s="51"/>
      <c r="S311" s="52" t="s">
        <v>61</v>
      </c>
      <c r="T311" s="53"/>
      <c r="U311" s="53"/>
      <c r="V311" s="54" t="str">
        <f t="shared" ca="1" si="1"/>
        <v/>
      </c>
      <c r="W311" s="55"/>
      <c r="X311" s="116"/>
      <c r="Y311" s="121"/>
      <c r="Z311" s="122"/>
      <c r="AA311" s="122"/>
      <c r="AB311" s="116"/>
      <c r="AC311" s="121"/>
      <c r="AD311" s="122"/>
      <c r="AE311" s="122"/>
      <c r="AF311" s="116"/>
      <c r="AG311" s="123"/>
    </row>
    <row r="312" spans="1:33" s="15" customFormat="1" ht="25.5" customHeight="1" x14ac:dyDescent="0.3">
      <c r="A312" s="131"/>
      <c r="B312" s="50"/>
      <c r="C312" s="50"/>
      <c r="D312" s="49"/>
      <c r="E312" s="127"/>
      <c r="F312" s="50"/>
      <c r="G312" s="50"/>
      <c r="H312" s="124"/>
      <c r="I312" s="51"/>
      <c r="J312" s="116" t="s">
        <v>61</v>
      </c>
      <c r="K312" s="140"/>
      <c r="L312" s="125"/>
      <c r="M312" s="125"/>
      <c r="N312" s="149"/>
      <c r="O312" s="125"/>
      <c r="P312" s="126" t="str">
        <f>(IFERROR(VLOOKUP(K312,[2]Sampling!$A$2:$D$995,4,FALSE),IFERROR(VLOOKUP(K312,'[2]Other Queries'!$A$2:$E$1000,5,FALSE),IFERROR(VLOOKUP(K312,'[2]Statement Confirmation'!$A$2:$F$1000,6,FALSE),""))))</f>
        <v/>
      </c>
      <c r="Q312" s="117"/>
      <c r="R312" s="51"/>
      <c r="S312" s="52" t="s">
        <v>61</v>
      </c>
      <c r="T312" s="53"/>
      <c r="U312" s="53"/>
      <c r="V312" s="54" t="str">
        <f t="shared" ca="1" si="1"/>
        <v/>
      </c>
      <c r="W312" s="55"/>
      <c r="X312" s="116"/>
      <c r="Y312" s="121"/>
      <c r="Z312" s="122"/>
      <c r="AA312" s="122"/>
      <c r="AB312" s="116"/>
      <c r="AC312" s="121"/>
      <c r="AD312" s="122"/>
      <c r="AE312" s="122"/>
      <c r="AF312" s="116"/>
      <c r="AG312" s="123"/>
    </row>
    <row r="313" spans="1:33" s="15" customFormat="1" ht="25.5" customHeight="1" x14ac:dyDescent="0.3">
      <c r="A313" s="131"/>
      <c r="B313" s="50"/>
      <c r="C313" s="50"/>
      <c r="D313" s="49"/>
      <c r="E313" s="127"/>
      <c r="F313" s="50"/>
      <c r="G313" s="50"/>
      <c r="H313" s="124"/>
      <c r="I313" s="51"/>
      <c r="J313" s="116" t="s">
        <v>61</v>
      </c>
      <c r="K313" s="140"/>
      <c r="L313" s="125"/>
      <c r="M313" s="125"/>
      <c r="N313" s="149"/>
      <c r="O313" s="125"/>
      <c r="P313" s="126" t="str">
        <f>(IFERROR(VLOOKUP(K313,[2]Sampling!$A$2:$D$995,4,FALSE),IFERROR(VLOOKUP(K313,'[2]Other Queries'!$A$2:$E$1000,5,FALSE),IFERROR(VLOOKUP(K313,'[2]Statement Confirmation'!$A$2:$F$1000,6,FALSE),""))))</f>
        <v/>
      </c>
      <c r="Q313" s="117"/>
      <c r="R313" s="51"/>
      <c r="S313" s="52" t="s">
        <v>61</v>
      </c>
      <c r="T313" s="53"/>
      <c r="U313" s="53"/>
      <c r="V313" s="54" t="str">
        <f t="shared" ca="1" si="1"/>
        <v/>
      </c>
      <c r="W313" s="55"/>
      <c r="X313" s="116"/>
      <c r="Y313" s="121"/>
      <c r="Z313" s="122"/>
      <c r="AA313" s="122"/>
      <c r="AB313" s="116"/>
      <c r="AC313" s="121"/>
      <c r="AD313" s="122"/>
      <c r="AE313" s="122"/>
      <c r="AF313" s="116"/>
      <c r="AG313" s="123"/>
    </row>
    <row r="314" spans="1:33" s="15" customFormat="1" ht="25.5" customHeight="1" x14ac:dyDescent="0.3">
      <c r="A314" s="131"/>
      <c r="B314" s="50"/>
      <c r="C314" s="50"/>
      <c r="D314" s="49"/>
      <c r="E314" s="127"/>
      <c r="F314" s="50"/>
      <c r="G314" s="50"/>
      <c r="H314" s="124"/>
      <c r="I314" s="51"/>
      <c r="J314" s="116" t="s">
        <v>61</v>
      </c>
      <c r="K314" s="140"/>
      <c r="L314" s="125"/>
      <c r="M314" s="125"/>
      <c r="N314" s="149"/>
      <c r="O314" s="125"/>
      <c r="P314" s="126" t="str">
        <f>(IFERROR(VLOOKUP(K314,[2]Sampling!$A$2:$D$995,4,FALSE),IFERROR(VLOOKUP(K314,'[2]Other Queries'!$A$2:$E$1000,5,FALSE),IFERROR(VLOOKUP(K314,'[2]Statement Confirmation'!$A$2:$F$1000,6,FALSE),""))))</f>
        <v/>
      </c>
      <c r="Q314" s="117"/>
      <c r="R314" s="51"/>
      <c r="S314" s="52" t="s">
        <v>61</v>
      </c>
      <c r="T314" s="53"/>
      <c r="U314" s="53"/>
      <c r="V314" s="54" t="str">
        <f t="shared" ca="1" si="1"/>
        <v/>
      </c>
      <c r="W314" s="55"/>
      <c r="X314" s="116"/>
      <c r="Y314" s="121"/>
      <c r="Z314" s="122"/>
      <c r="AA314" s="122"/>
      <c r="AB314" s="116"/>
      <c r="AC314" s="121"/>
      <c r="AD314" s="122"/>
      <c r="AE314" s="122"/>
      <c r="AF314" s="116"/>
      <c r="AG314" s="123"/>
    </row>
    <row r="315" spans="1:33" s="15" customFormat="1" ht="25.5" customHeight="1" x14ac:dyDescent="0.3">
      <c r="A315" s="131"/>
      <c r="B315" s="50"/>
      <c r="C315" s="50"/>
      <c r="D315" s="49"/>
      <c r="E315" s="127"/>
      <c r="F315" s="50"/>
      <c r="G315" s="50"/>
      <c r="H315" s="124"/>
      <c r="I315" s="51"/>
      <c r="J315" s="116" t="s">
        <v>61</v>
      </c>
      <c r="K315" s="140"/>
      <c r="L315" s="125"/>
      <c r="M315" s="125"/>
      <c r="N315" s="149"/>
      <c r="O315" s="125"/>
      <c r="P315" s="126" t="str">
        <f>(IFERROR(VLOOKUP(K315,[2]Sampling!$A$2:$D$995,4,FALSE),IFERROR(VLOOKUP(K315,'[2]Other Queries'!$A$2:$E$1000,5,FALSE),IFERROR(VLOOKUP(K315,'[2]Statement Confirmation'!$A$2:$F$1000,6,FALSE),""))))</f>
        <v/>
      </c>
      <c r="Q315" s="117"/>
      <c r="R315" s="51"/>
      <c r="S315" s="52" t="s">
        <v>61</v>
      </c>
      <c r="T315" s="53"/>
      <c r="U315" s="53"/>
      <c r="V315" s="54" t="str">
        <f t="shared" ca="1" si="1"/>
        <v/>
      </c>
      <c r="W315" s="55"/>
      <c r="X315" s="116"/>
      <c r="Y315" s="121"/>
      <c r="Z315" s="122"/>
      <c r="AA315" s="122"/>
      <c r="AB315" s="116"/>
      <c r="AC315" s="121"/>
      <c r="AD315" s="122"/>
      <c r="AE315" s="122"/>
      <c r="AF315" s="116"/>
      <c r="AG315" s="123"/>
    </row>
    <row r="316" spans="1:33" s="15" customFormat="1" ht="25.5" customHeight="1" x14ac:dyDescent="0.3">
      <c r="A316" s="131"/>
      <c r="B316" s="50"/>
      <c r="C316" s="50"/>
      <c r="D316" s="49"/>
      <c r="E316" s="127"/>
      <c r="F316" s="50"/>
      <c r="G316" s="50"/>
      <c r="H316" s="124"/>
      <c r="I316" s="51"/>
      <c r="J316" s="116" t="s">
        <v>61</v>
      </c>
      <c r="K316" s="140"/>
      <c r="L316" s="125"/>
      <c r="M316" s="125"/>
      <c r="N316" s="149"/>
      <c r="O316" s="125"/>
      <c r="P316" s="126" t="str">
        <f>(IFERROR(VLOOKUP(K316,[2]Sampling!$A$2:$D$995,4,FALSE),IFERROR(VLOOKUP(K316,'[2]Other Queries'!$A$2:$E$1000,5,FALSE),IFERROR(VLOOKUP(K316,'[2]Statement Confirmation'!$A$2:$F$1000,6,FALSE),""))))</f>
        <v/>
      </c>
      <c r="Q316" s="117"/>
      <c r="R316" s="51"/>
      <c r="S316" s="52" t="s">
        <v>61</v>
      </c>
      <c r="T316" s="53"/>
      <c r="U316" s="53"/>
      <c r="V316" s="54" t="str">
        <f t="shared" ca="1" si="1"/>
        <v/>
      </c>
      <c r="W316" s="55"/>
      <c r="X316" s="116"/>
      <c r="Y316" s="121"/>
      <c r="Z316" s="122"/>
      <c r="AA316" s="122"/>
      <c r="AB316" s="116"/>
      <c r="AC316" s="121"/>
      <c r="AD316" s="122"/>
      <c r="AE316" s="122"/>
      <c r="AF316" s="116"/>
      <c r="AG316" s="123"/>
    </row>
    <row r="317" spans="1:33" s="15" customFormat="1" ht="25.5" customHeight="1" x14ac:dyDescent="0.3">
      <c r="A317" s="131"/>
      <c r="B317" s="50"/>
      <c r="C317" s="50"/>
      <c r="D317" s="49"/>
      <c r="E317" s="127"/>
      <c r="F317" s="50"/>
      <c r="G317" s="50"/>
      <c r="H317" s="124"/>
      <c r="I317" s="51"/>
      <c r="J317" s="116" t="s">
        <v>61</v>
      </c>
      <c r="K317" s="140"/>
      <c r="L317" s="125"/>
      <c r="M317" s="125"/>
      <c r="N317" s="149"/>
      <c r="O317" s="125"/>
      <c r="P317" s="126" t="str">
        <f>(IFERROR(VLOOKUP(K317,[2]Sampling!$A$2:$D$995,4,FALSE),IFERROR(VLOOKUP(K317,'[2]Other Queries'!$A$2:$E$1000,5,FALSE),IFERROR(VLOOKUP(K317,'[2]Statement Confirmation'!$A$2:$F$1000,6,FALSE),""))))</f>
        <v/>
      </c>
      <c r="Q317" s="117"/>
      <c r="R317" s="51"/>
      <c r="S317" s="52" t="s">
        <v>61</v>
      </c>
      <c r="T317" s="53"/>
      <c r="U317" s="53"/>
      <c r="V317" s="54" t="str">
        <f t="shared" ca="1" si="1"/>
        <v/>
      </c>
      <c r="W317" s="55"/>
      <c r="X317" s="116"/>
      <c r="Y317" s="121"/>
      <c r="Z317" s="122"/>
      <c r="AA317" s="122"/>
      <c r="AB317" s="116"/>
      <c r="AC317" s="121"/>
      <c r="AD317" s="122"/>
      <c r="AE317" s="122"/>
      <c r="AF317" s="116"/>
      <c r="AG317" s="123"/>
    </row>
    <row r="318" spans="1:33" s="15" customFormat="1" ht="25.5" customHeight="1" x14ac:dyDescent="0.3">
      <c r="A318" s="131"/>
      <c r="B318" s="50"/>
      <c r="C318" s="50"/>
      <c r="D318" s="49"/>
      <c r="E318" s="127"/>
      <c r="F318" s="50"/>
      <c r="G318" s="50"/>
      <c r="H318" s="124"/>
      <c r="I318" s="51"/>
      <c r="J318" s="116" t="s">
        <v>61</v>
      </c>
      <c r="K318" s="140"/>
      <c r="L318" s="125"/>
      <c r="M318" s="125"/>
      <c r="N318" s="149"/>
      <c r="O318" s="125"/>
      <c r="P318" s="126" t="str">
        <f>(IFERROR(VLOOKUP(K318,[2]Sampling!$A$2:$D$995,4,FALSE),IFERROR(VLOOKUP(K318,'[2]Other Queries'!$A$2:$E$1000,5,FALSE),IFERROR(VLOOKUP(K318,'[2]Statement Confirmation'!$A$2:$F$1000,6,FALSE),""))))</f>
        <v/>
      </c>
      <c r="Q318" s="117"/>
      <c r="R318" s="51"/>
      <c r="S318" s="52" t="s">
        <v>61</v>
      </c>
      <c r="T318" s="53"/>
      <c r="U318" s="53"/>
      <c r="V318" s="54" t="str">
        <f t="shared" ca="1" si="1"/>
        <v/>
      </c>
      <c r="W318" s="55"/>
      <c r="X318" s="116"/>
      <c r="Y318" s="121"/>
      <c r="Z318" s="122"/>
      <c r="AA318" s="122"/>
      <c r="AB318" s="116"/>
      <c r="AC318" s="121"/>
      <c r="AD318" s="122"/>
      <c r="AE318" s="122"/>
      <c r="AF318" s="116"/>
      <c r="AG318" s="123"/>
    </row>
    <row r="319" spans="1:33" s="15" customFormat="1" ht="25.5" customHeight="1" x14ac:dyDescent="0.3">
      <c r="A319" s="131"/>
      <c r="B319" s="50"/>
      <c r="C319" s="50"/>
      <c r="D319" s="49"/>
      <c r="E319" s="127"/>
      <c r="F319" s="50"/>
      <c r="G319" s="50"/>
      <c r="H319" s="124"/>
      <c r="I319" s="51"/>
      <c r="J319" s="116" t="s">
        <v>61</v>
      </c>
      <c r="K319" s="140"/>
      <c r="L319" s="125"/>
      <c r="M319" s="125"/>
      <c r="N319" s="149"/>
      <c r="O319" s="125"/>
      <c r="P319" s="126" t="str">
        <f>(IFERROR(VLOOKUP(K319,[2]Sampling!$A$2:$D$995,4,FALSE),IFERROR(VLOOKUP(K319,'[2]Other Queries'!$A$2:$E$1000,5,FALSE),IFERROR(VLOOKUP(K319,'[2]Statement Confirmation'!$A$2:$F$1000,6,FALSE),""))))</f>
        <v/>
      </c>
      <c r="Q319" s="117"/>
      <c r="R319" s="51"/>
      <c r="S319" s="52" t="s">
        <v>61</v>
      </c>
      <c r="T319" s="53"/>
      <c r="U319" s="53"/>
      <c r="V319" s="54" t="str">
        <f t="shared" ca="1" si="1"/>
        <v/>
      </c>
      <c r="W319" s="55"/>
      <c r="X319" s="116"/>
      <c r="Y319" s="121"/>
      <c r="Z319" s="122"/>
      <c r="AA319" s="122"/>
      <c r="AB319" s="116"/>
      <c r="AC319" s="121"/>
      <c r="AD319" s="122"/>
      <c r="AE319" s="122"/>
      <c r="AF319" s="116"/>
      <c r="AG319" s="123"/>
    </row>
    <row r="320" spans="1:33" s="15" customFormat="1" ht="25.5" customHeight="1" x14ac:dyDescent="0.3">
      <c r="A320" s="131"/>
      <c r="B320" s="50"/>
      <c r="C320" s="50"/>
      <c r="D320" s="49"/>
      <c r="E320" s="127"/>
      <c r="F320" s="50"/>
      <c r="G320" s="50"/>
      <c r="H320" s="124"/>
      <c r="I320" s="51"/>
      <c r="J320" s="116" t="s">
        <v>61</v>
      </c>
      <c r="K320" s="140"/>
      <c r="L320" s="125"/>
      <c r="M320" s="125"/>
      <c r="N320" s="149"/>
      <c r="O320" s="125"/>
      <c r="P320" s="126" t="str">
        <f>(IFERROR(VLOOKUP(K320,[2]Sampling!$A$2:$D$995,4,FALSE),IFERROR(VLOOKUP(K320,'[2]Other Queries'!$A$2:$E$1000,5,FALSE),IFERROR(VLOOKUP(K320,'[2]Statement Confirmation'!$A$2:$F$1000,6,FALSE),""))))</f>
        <v/>
      </c>
      <c r="Q320" s="117"/>
      <c r="R320" s="51"/>
      <c r="S320" s="52" t="s">
        <v>61</v>
      </c>
      <c r="T320" s="53"/>
      <c r="U320" s="53"/>
      <c r="V320" s="54" t="str">
        <f t="shared" ca="1" si="1"/>
        <v/>
      </c>
      <c r="W320" s="55"/>
      <c r="X320" s="116"/>
      <c r="Y320" s="121"/>
      <c r="Z320" s="122"/>
      <c r="AA320" s="122"/>
      <c r="AB320" s="116"/>
      <c r="AC320" s="121"/>
      <c r="AD320" s="122"/>
      <c r="AE320" s="122"/>
      <c r="AF320" s="116"/>
      <c r="AG320" s="123"/>
    </row>
    <row r="321" spans="1:33" s="15" customFormat="1" ht="25.5" customHeight="1" x14ac:dyDescent="0.3">
      <c r="A321" s="131"/>
      <c r="B321" s="50"/>
      <c r="C321" s="50"/>
      <c r="D321" s="49"/>
      <c r="E321" s="127"/>
      <c r="F321" s="50"/>
      <c r="G321" s="50"/>
      <c r="H321" s="124"/>
      <c r="I321" s="51"/>
      <c r="J321" s="116" t="s">
        <v>61</v>
      </c>
      <c r="K321" s="140"/>
      <c r="L321" s="125"/>
      <c r="M321" s="125"/>
      <c r="N321" s="149"/>
      <c r="O321" s="125"/>
      <c r="P321" s="126" t="str">
        <f>(IFERROR(VLOOKUP(K321,[2]Sampling!$A$2:$D$995,4,FALSE),IFERROR(VLOOKUP(K321,'[2]Other Queries'!$A$2:$E$1000,5,FALSE),IFERROR(VLOOKUP(K321,'[2]Statement Confirmation'!$A$2:$F$1000,6,FALSE),""))))</f>
        <v/>
      </c>
      <c r="Q321" s="117"/>
      <c r="R321" s="51"/>
      <c r="S321" s="52" t="s">
        <v>61</v>
      </c>
      <c r="T321" s="53"/>
      <c r="U321" s="53"/>
      <c r="V321" s="54" t="str">
        <f t="shared" ca="1" si="1"/>
        <v/>
      </c>
      <c r="W321" s="55"/>
      <c r="X321" s="116"/>
      <c r="Y321" s="121"/>
      <c r="Z321" s="122"/>
      <c r="AA321" s="122"/>
      <c r="AB321" s="116"/>
      <c r="AC321" s="121"/>
      <c r="AD321" s="122"/>
      <c r="AE321" s="122"/>
      <c r="AF321" s="116"/>
      <c r="AG321" s="123"/>
    </row>
    <row r="322" spans="1:33" s="15" customFormat="1" ht="25.5" customHeight="1" x14ac:dyDescent="0.3">
      <c r="A322" s="131"/>
      <c r="B322" s="50"/>
      <c r="C322" s="50"/>
      <c r="D322" s="49"/>
      <c r="E322" s="127"/>
      <c r="F322" s="50"/>
      <c r="G322" s="50"/>
      <c r="H322" s="124"/>
      <c r="I322" s="51"/>
      <c r="J322" s="116" t="s">
        <v>61</v>
      </c>
      <c r="K322" s="140"/>
      <c r="L322" s="125"/>
      <c r="M322" s="125"/>
      <c r="N322" s="149"/>
      <c r="O322" s="125"/>
      <c r="P322" s="126" t="str">
        <f>(IFERROR(VLOOKUP(K322,[2]Sampling!$A$2:$D$995,4,FALSE),IFERROR(VLOOKUP(K322,'[2]Other Queries'!$A$2:$E$1000,5,FALSE),IFERROR(VLOOKUP(K322,'[2]Statement Confirmation'!$A$2:$F$1000,6,FALSE),""))))</f>
        <v/>
      </c>
      <c r="Q322" s="117"/>
      <c r="R322" s="51"/>
      <c r="S322" s="52" t="s">
        <v>61</v>
      </c>
      <c r="T322" s="53"/>
      <c r="U322" s="53"/>
      <c r="V322" s="54" t="str">
        <f t="shared" ca="1" si="1"/>
        <v/>
      </c>
      <c r="W322" s="55"/>
      <c r="X322" s="116"/>
      <c r="Y322" s="121"/>
      <c r="Z322" s="122"/>
      <c r="AA322" s="122"/>
      <c r="AB322" s="116"/>
      <c r="AC322" s="121"/>
      <c r="AD322" s="122"/>
      <c r="AE322" s="122"/>
      <c r="AF322" s="116"/>
      <c r="AG322" s="123"/>
    </row>
    <row r="323" spans="1:33" s="15" customFormat="1" ht="25.5" customHeight="1" x14ac:dyDescent="0.3">
      <c r="A323" s="131"/>
      <c r="B323" s="50"/>
      <c r="C323" s="50"/>
      <c r="D323" s="49"/>
      <c r="E323" s="127"/>
      <c r="F323" s="50"/>
      <c r="G323" s="50"/>
      <c r="H323" s="124"/>
      <c r="I323" s="51"/>
      <c r="J323" s="116" t="s">
        <v>61</v>
      </c>
      <c r="K323" s="140"/>
      <c r="L323" s="125"/>
      <c r="M323" s="125"/>
      <c r="N323" s="149"/>
      <c r="O323" s="125"/>
      <c r="P323" s="126" t="str">
        <f>(IFERROR(VLOOKUP(K323,[2]Sampling!$A$2:$D$995,4,FALSE),IFERROR(VLOOKUP(K323,'[2]Other Queries'!$A$2:$E$1000,5,FALSE),IFERROR(VLOOKUP(K323,'[2]Statement Confirmation'!$A$2:$F$1000,6,FALSE),""))))</f>
        <v/>
      </c>
      <c r="Q323" s="117"/>
      <c r="R323" s="51"/>
      <c r="S323" s="52" t="s">
        <v>61</v>
      </c>
      <c r="T323" s="53"/>
      <c r="U323" s="53"/>
      <c r="V323" s="54" t="str">
        <f t="shared" ca="1" si="1"/>
        <v/>
      </c>
      <c r="W323" s="55"/>
      <c r="X323" s="116"/>
      <c r="Y323" s="121"/>
      <c r="Z323" s="122"/>
      <c r="AA323" s="122"/>
      <c r="AB323" s="116"/>
      <c r="AC323" s="121"/>
      <c r="AD323" s="122"/>
      <c r="AE323" s="122"/>
      <c r="AF323" s="116"/>
      <c r="AG323" s="123"/>
    </row>
    <row r="324" spans="1:33" s="15" customFormat="1" ht="25.5" customHeight="1" x14ac:dyDescent="0.3">
      <c r="A324" s="131"/>
      <c r="B324" s="50"/>
      <c r="C324" s="50"/>
      <c r="D324" s="49"/>
      <c r="E324" s="127"/>
      <c r="F324" s="50"/>
      <c r="G324" s="50"/>
      <c r="H324" s="124"/>
      <c r="I324" s="51"/>
      <c r="J324" s="116" t="s">
        <v>61</v>
      </c>
      <c r="K324" s="140"/>
      <c r="L324" s="125"/>
      <c r="M324" s="125"/>
      <c r="N324" s="149"/>
      <c r="O324" s="125"/>
      <c r="P324" s="126" t="str">
        <f>(IFERROR(VLOOKUP(K324,[2]Sampling!$A$2:$D$995,4,FALSE),IFERROR(VLOOKUP(K324,'[2]Other Queries'!$A$2:$E$1000,5,FALSE),IFERROR(VLOOKUP(K324,'[2]Statement Confirmation'!$A$2:$F$1000,6,FALSE),""))))</f>
        <v/>
      </c>
      <c r="Q324" s="117"/>
      <c r="R324" s="51"/>
      <c r="S324" s="52" t="s">
        <v>61</v>
      </c>
      <c r="T324" s="53"/>
      <c r="U324" s="53"/>
      <c r="V324" s="54" t="str">
        <f t="shared" ca="1" si="1"/>
        <v/>
      </c>
      <c r="W324" s="55"/>
      <c r="X324" s="116"/>
      <c r="Y324" s="121"/>
      <c r="Z324" s="122"/>
      <c r="AA324" s="122"/>
      <c r="AB324" s="116"/>
      <c r="AC324" s="121"/>
      <c r="AD324" s="122"/>
      <c r="AE324" s="122"/>
      <c r="AF324" s="116"/>
      <c r="AG324" s="123"/>
    </row>
    <row r="325" spans="1:33" s="15" customFormat="1" ht="25.5" customHeight="1" x14ac:dyDescent="0.3">
      <c r="A325" s="131"/>
      <c r="B325" s="50"/>
      <c r="C325" s="50"/>
      <c r="D325" s="49"/>
      <c r="E325" s="127"/>
      <c r="F325" s="50"/>
      <c r="G325" s="50"/>
      <c r="H325" s="124"/>
      <c r="I325" s="51"/>
      <c r="J325" s="116" t="s">
        <v>61</v>
      </c>
      <c r="K325" s="140"/>
      <c r="L325" s="125"/>
      <c r="M325" s="125"/>
      <c r="N325" s="149"/>
      <c r="O325" s="125"/>
      <c r="P325" s="126" t="str">
        <f>(IFERROR(VLOOKUP(K325,[2]Sampling!$A$2:$D$995,4,FALSE),IFERROR(VLOOKUP(K325,'[2]Other Queries'!$A$2:$E$1000,5,FALSE),IFERROR(VLOOKUP(K325,'[2]Statement Confirmation'!$A$2:$F$1000,6,FALSE),""))))</f>
        <v/>
      </c>
      <c r="Q325" s="117"/>
      <c r="R325" s="51"/>
      <c r="S325" s="52" t="s">
        <v>61</v>
      </c>
      <c r="T325" s="53"/>
      <c r="U325" s="53"/>
      <c r="V325" s="54" t="str">
        <f t="shared" ca="1" si="1"/>
        <v/>
      </c>
      <c r="W325" s="55"/>
      <c r="X325" s="116"/>
      <c r="Y325" s="121"/>
      <c r="Z325" s="122"/>
      <c r="AA325" s="122"/>
      <c r="AB325" s="116"/>
      <c r="AC325" s="121"/>
      <c r="AD325" s="122"/>
      <c r="AE325" s="122"/>
      <c r="AF325" s="116"/>
      <c r="AG325" s="123"/>
    </row>
    <row r="326" spans="1:33" s="15" customFormat="1" ht="25.5" customHeight="1" x14ac:dyDescent="0.3">
      <c r="A326" s="131"/>
      <c r="B326" s="50"/>
      <c r="C326" s="50"/>
      <c r="D326" s="49"/>
      <c r="E326" s="127"/>
      <c r="F326" s="50"/>
      <c r="G326" s="50"/>
      <c r="H326" s="124"/>
      <c r="I326" s="51"/>
      <c r="J326" s="116" t="s">
        <v>61</v>
      </c>
      <c r="K326" s="140"/>
      <c r="L326" s="125"/>
      <c r="M326" s="125"/>
      <c r="N326" s="149"/>
      <c r="O326" s="125"/>
      <c r="P326" s="126" t="str">
        <f>(IFERROR(VLOOKUP(K326,[2]Sampling!$A$2:$D$995,4,FALSE),IFERROR(VLOOKUP(K326,'[2]Other Queries'!$A$2:$E$1000,5,FALSE),IFERROR(VLOOKUP(K326,'[2]Statement Confirmation'!$A$2:$F$1000,6,FALSE),""))))</f>
        <v/>
      </c>
      <c r="Q326" s="117"/>
      <c r="R326" s="51"/>
      <c r="S326" s="52" t="s">
        <v>61</v>
      </c>
      <c r="T326" s="53"/>
      <c r="U326" s="53"/>
      <c r="V326" s="54" t="str">
        <f t="shared" ca="1" si="1"/>
        <v/>
      </c>
      <c r="W326" s="55"/>
      <c r="X326" s="116"/>
      <c r="Y326" s="121"/>
      <c r="Z326" s="122"/>
      <c r="AA326" s="122"/>
      <c r="AB326" s="116"/>
      <c r="AC326" s="121"/>
      <c r="AD326" s="122"/>
      <c r="AE326" s="122"/>
      <c r="AF326" s="116"/>
      <c r="AG326" s="123"/>
    </row>
    <row r="327" spans="1:33" s="15" customFormat="1" ht="25.5" customHeight="1" x14ac:dyDescent="0.3">
      <c r="A327" s="131"/>
      <c r="B327" s="50"/>
      <c r="C327" s="50"/>
      <c r="D327" s="49"/>
      <c r="E327" s="127"/>
      <c r="F327" s="50"/>
      <c r="G327" s="50"/>
      <c r="H327" s="124"/>
      <c r="I327" s="51"/>
      <c r="J327" s="116" t="s">
        <v>61</v>
      </c>
      <c r="K327" s="140"/>
      <c r="L327" s="125"/>
      <c r="M327" s="125"/>
      <c r="N327" s="149"/>
      <c r="O327" s="125"/>
      <c r="P327" s="126" t="str">
        <f>(IFERROR(VLOOKUP(K327,[2]Sampling!$A$2:$D$995,4,FALSE),IFERROR(VLOOKUP(K327,'[2]Other Queries'!$A$2:$E$1000,5,FALSE),IFERROR(VLOOKUP(K327,'[2]Statement Confirmation'!$A$2:$F$1000,6,FALSE),""))))</f>
        <v/>
      </c>
      <c r="Q327" s="117"/>
      <c r="R327" s="51"/>
      <c r="S327" s="52" t="s">
        <v>61</v>
      </c>
      <c r="T327" s="53"/>
      <c r="U327" s="53"/>
      <c r="V327" s="54" t="str">
        <f t="shared" ca="1" si="1"/>
        <v/>
      </c>
      <c r="W327" s="55"/>
      <c r="X327" s="116"/>
      <c r="Y327" s="121"/>
      <c r="Z327" s="122"/>
      <c r="AA327" s="122"/>
      <c r="AB327" s="116"/>
      <c r="AC327" s="121"/>
      <c r="AD327" s="122"/>
      <c r="AE327" s="122"/>
      <c r="AF327" s="116"/>
      <c r="AG327" s="123"/>
    </row>
    <row r="328" spans="1:33" s="15" customFormat="1" ht="25.5" customHeight="1" x14ac:dyDescent="0.3">
      <c r="A328" s="131"/>
      <c r="B328" s="50"/>
      <c r="C328" s="50"/>
      <c r="D328" s="49"/>
      <c r="E328" s="127"/>
      <c r="F328" s="50"/>
      <c r="G328" s="50"/>
      <c r="H328" s="124"/>
      <c r="I328" s="51"/>
      <c r="J328" s="116" t="s">
        <v>61</v>
      </c>
      <c r="K328" s="140"/>
      <c r="L328" s="125"/>
      <c r="M328" s="125"/>
      <c r="N328" s="149"/>
      <c r="O328" s="125"/>
      <c r="P328" s="126" t="str">
        <f>(IFERROR(VLOOKUP(K328,[2]Sampling!$A$2:$D$995,4,FALSE),IFERROR(VLOOKUP(K328,'[2]Other Queries'!$A$2:$E$1000,5,FALSE),IFERROR(VLOOKUP(K328,'[2]Statement Confirmation'!$A$2:$F$1000,6,FALSE),""))))</f>
        <v/>
      </c>
      <c r="Q328" s="117"/>
      <c r="R328" s="51"/>
      <c r="S328" s="52" t="s">
        <v>61</v>
      </c>
      <c r="T328" s="53"/>
      <c r="U328" s="53"/>
      <c r="V328" s="54" t="str">
        <f t="shared" ca="1" si="1"/>
        <v/>
      </c>
      <c r="W328" s="55"/>
      <c r="X328" s="116"/>
      <c r="Y328" s="121"/>
      <c r="Z328" s="122"/>
      <c r="AA328" s="122"/>
      <c r="AB328" s="116"/>
      <c r="AC328" s="121"/>
      <c r="AD328" s="122"/>
      <c r="AE328" s="122"/>
      <c r="AF328" s="116"/>
      <c r="AG328" s="123"/>
    </row>
    <row r="329" spans="1:33" s="15" customFormat="1" ht="25.5" customHeight="1" x14ac:dyDescent="0.3">
      <c r="A329" s="131"/>
      <c r="B329" s="50"/>
      <c r="C329" s="50"/>
      <c r="D329" s="49"/>
      <c r="E329" s="127"/>
      <c r="F329" s="50"/>
      <c r="G329" s="50"/>
      <c r="H329" s="124"/>
      <c r="I329" s="51"/>
      <c r="J329" s="116" t="s">
        <v>61</v>
      </c>
      <c r="K329" s="140"/>
      <c r="L329" s="125"/>
      <c r="M329" s="125"/>
      <c r="N329" s="149"/>
      <c r="O329" s="125"/>
      <c r="P329" s="126" t="str">
        <f>(IFERROR(VLOOKUP(K329,[2]Sampling!$A$2:$D$995,4,FALSE),IFERROR(VLOOKUP(K329,'[2]Other Queries'!$A$2:$E$1000,5,FALSE),IFERROR(VLOOKUP(K329,'[2]Statement Confirmation'!$A$2:$F$1000,6,FALSE),""))))</f>
        <v/>
      </c>
      <c r="Q329" s="117"/>
      <c r="R329" s="51"/>
      <c r="S329" s="52" t="s">
        <v>61</v>
      </c>
      <c r="T329" s="53"/>
      <c r="U329" s="53"/>
      <c r="V329" s="54" t="str">
        <f t="shared" ca="1" si="1"/>
        <v/>
      </c>
      <c r="W329" s="55"/>
      <c r="X329" s="116"/>
      <c r="Y329" s="121"/>
      <c r="Z329" s="122"/>
      <c r="AA329" s="122"/>
      <c r="AB329" s="116"/>
      <c r="AC329" s="121"/>
      <c r="AD329" s="122"/>
      <c r="AE329" s="122"/>
      <c r="AF329" s="116"/>
      <c r="AG329" s="123"/>
    </row>
    <row r="330" spans="1:33" s="15" customFormat="1" ht="25.5" customHeight="1" x14ac:dyDescent="0.3">
      <c r="A330" s="131"/>
      <c r="B330" s="50"/>
      <c r="C330" s="50"/>
      <c r="D330" s="49"/>
      <c r="E330" s="127"/>
      <c r="F330" s="50"/>
      <c r="G330" s="50"/>
      <c r="H330" s="124"/>
      <c r="I330" s="51"/>
      <c r="J330" s="116" t="s">
        <v>61</v>
      </c>
      <c r="K330" s="140"/>
      <c r="L330" s="125"/>
      <c r="M330" s="125"/>
      <c r="N330" s="149"/>
      <c r="O330" s="125"/>
      <c r="P330" s="126" t="str">
        <f>(IFERROR(VLOOKUP(K330,[2]Sampling!$A$2:$D$995,4,FALSE),IFERROR(VLOOKUP(K330,'[2]Other Queries'!$A$2:$E$1000,5,FALSE),IFERROR(VLOOKUP(K330,'[2]Statement Confirmation'!$A$2:$F$1000,6,FALSE),""))))</f>
        <v/>
      </c>
      <c r="Q330" s="117"/>
      <c r="R330" s="51"/>
      <c r="S330" s="52" t="s">
        <v>61</v>
      </c>
      <c r="T330" s="53"/>
      <c r="U330" s="53"/>
      <c r="V330" s="54" t="str">
        <f t="shared" ca="1" si="1"/>
        <v/>
      </c>
      <c r="W330" s="55"/>
      <c r="X330" s="116"/>
      <c r="Y330" s="121"/>
      <c r="Z330" s="122"/>
      <c r="AA330" s="122"/>
      <c r="AB330" s="116"/>
      <c r="AC330" s="121"/>
      <c r="AD330" s="122"/>
      <c r="AE330" s="122"/>
      <c r="AF330" s="116"/>
      <c r="AG330" s="123"/>
    </row>
    <row r="331" spans="1:33" s="15" customFormat="1" ht="25.5" customHeight="1" x14ac:dyDescent="0.3">
      <c r="A331" s="131"/>
      <c r="B331" s="50"/>
      <c r="C331" s="50"/>
      <c r="D331" s="49"/>
      <c r="E331" s="127"/>
      <c r="F331" s="50"/>
      <c r="G331" s="50"/>
      <c r="H331" s="124"/>
      <c r="I331" s="51"/>
      <c r="J331" s="116" t="s">
        <v>61</v>
      </c>
      <c r="K331" s="140"/>
      <c r="L331" s="125"/>
      <c r="M331" s="125"/>
      <c r="N331" s="149"/>
      <c r="O331" s="125"/>
      <c r="P331" s="126" t="str">
        <f>(IFERROR(VLOOKUP(K331,[2]Sampling!$A$2:$D$995,4,FALSE),IFERROR(VLOOKUP(K331,'[2]Other Queries'!$A$2:$E$1000,5,FALSE),IFERROR(VLOOKUP(K331,'[2]Statement Confirmation'!$A$2:$F$1000,6,FALSE),""))))</f>
        <v/>
      </c>
      <c r="Q331" s="117"/>
      <c r="R331" s="51"/>
      <c r="S331" s="52" t="s">
        <v>61</v>
      </c>
      <c r="T331" s="53"/>
      <c r="U331" s="53"/>
      <c r="V331" s="54" t="str">
        <f t="shared" ca="1" si="1"/>
        <v/>
      </c>
      <c r="W331" s="55"/>
      <c r="X331" s="116"/>
      <c r="Y331" s="121"/>
      <c r="Z331" s="122"/>
      <c r="AA331" s="122"/>
      <c r="AB331" s="116"/>
      <c r="AC331" s="121"/>
      <c r="AD331" s="122"/>
      <c r="AE331" s="122"/>
      <c r="AF331" s="116"/>
      <c r="AG331" s="123"/>
    </row>
    <row r="332" spans="1:33" s="15" customFormat="1" ht="25.5" customHeight="1" x14ac:dyDescent="0.3">
      <c r="A332" s="131"/>
      <c r="B332" s="50"/>
      <c r="C332" s="50"/>
      <c r="D332" s="49"/>
      <c r="E332" s="127"/>
      <c r="F332" s="50"/>
      <c r="G332" s="50"/>
      <c r="H332" s="124"/>
      <c r="I332" s="51"/>
      <c r="J332" s="116" t="s">
        <v>61</v>
      </c>
      <c r="K332" s="140"/>
      <c r="L332" s="125"/>
      <c r="M332" s="125"/>
      <c r="N332" s="149"/>
      <c r="O332" s="125"/>
      <c r="P332" s="126" t="str">
        <f>(IFERROR(VLOOKUP(K332,[2]Sampling!$A$2:$D$995,4,FALSE),IFERROR(VLOOKUP(K332,'[2]Other Queries'!$A$2:$E$1000,5,FALSE),IFERROR(VLOOKUP(K332,'[2]Statement Confirmation'!$A$2:$F$1000,6,FALSE),""))))</f>
        <v/>
      </c>
      <c r="Q332" s="117"/>
      <c r="R332" s="51"/>
      <c r="S332" s="52" t="s">
        <v>61</v>
      </c>
      <c r="T332" s="53"/>
      <c r="U332" s="53"/>
      <c r="V332" s="54" t="str">
        <f t="shared" ca="1" si="1"/>
        <v/>
      </c>
      <c r="W332" s="55"/>
      <c r="X332" s="116"/>
      <c r="Y332" s="121"/>
      <c r="Z332" s="122"/>
      <c r="AA332" s="122"/>
      <c r="AB332" s="116"/>
      <c r="AC332" s="121"/>
      <c r="AD332" s="122"/>
      <c r="AE332" s="122"/>
      <c r="AF332" s="116"/>
      <c r="AG332" s="123"/>
    </row>
    <row r="333" spans="1:33" s="15" customFormat="1" ht="25.5" customHeight="1" x14ac:dyDescent="0.3">
      <c r="A333" s="131"/>
      <c r="B333" s="50"/>
      <c r="C333" s="50"/>
      <c r="D333" s="49"/>
      <c r="E333" s="127"/>
      <c r="F333" s="50"/>
      <c r="G333" s="50"/>
      <c r="H333" s="124"/>
      <c r="I333" s="51"/>
      <c r="J333" s="116" t="s">
        <v>61</v>
      </c>
      <c r="K333" s="140"/>
      <c r="L333" s="125"/>
      <c r="M333" s="125"/>
      <c r="N333" s="149"/>
      <c r="O333" s="125"/>
      <c r="P333" s="126" t="str">
        <f>(IFERROR(VLOOKUP(K333,[2]Sampling!$A$2:$D$995,4,FALSE),IFERROR(VLOOKUP(K333,'[2]Other Queries'!$A$2:$E$1000,5,FALSE),IFERROR(VLOOKUP(K333,'[2]Statement Confirmation'!$A$2:$F$1000,6,FALSE),""))))</f>
        <v/>
      </c>
      <c r="Q333" s="117"/>
      <c r="R333" s="51"/>
      <c r="S333" s="52" t="s">
        <v>61</v>
      </c>
      <c r="T333" s="53"/>
      <c r="U333" s="53"/>
      <c r="V333" s="54" t="str">
        <f t="shared" ref="V333:V352" ca="1" si="2">IF(ISBLANK(T333),"",TODAY())</f>
        <v/>
      </c>
      <c r="W333" s="55"/>
      <c r="X333" s="116"/>
      <c r="Y333" s="121"/>
      <c r="Z333" s="122"/>
      <c r="AA333" s="122"/>
      <c r="AB333" s="116"/>
      <c r="AC333" s="121"/>
      <c r="AD333" s="122"/>
      <c r="AE333" s="122"/>
      <c r="AF333" s="116"/>
      <c r="AG333" s="123"/>
    </row>
    <row r="334" spans="1:33" s="15" customFormat="1" ht="25.5" customHeight="1" x14ac:dyDescent="0.3">
      <c r="A334" s="131"/>
      <c r="B334" s="50"/>
      <c r="C334" s="50"/>
      <c r="D334" s="49"/>
      <c r="E334" s="127"/>
      <c r="F334" s="50"/>
      <c r="G334" s="50"/>
      <c r="H334" s="124"/>
      <c r="I334" s="51"/>
      <c r="J334" s="116" t="s">
        <v>61</v>
      </c>
      <c r="K334" s="140"/>
      <c r="L334" s="125"/>
      <c r="M334" s="125"/>
      <c r="N334" s="149"/>
      <c r="O334" s="125"/>
      <c r="P334" s="126" t="str">
        <f>(IFERROR(VLOOKUP(K334,[2]Sampling!$A$2:$D$995,4,FALSE),IFERROR(VLOOKUP(K334,'[2]Other Queries'!$A$2:$E$1000,5,FALSE),IFERROR(VLOOKUP(K334,'[2]Statement Confirmation'!$A$2:$F$1000,6,FALSE),""))))</f>
        <v/>
      </c>
      <c r="Q334" s="117"/>
      <c r="R334" s="51"/>
      <c r="S334" s="52" t="s">
        <v>61</v>
      </c>
      <c r="T334" s="53"/>
      <c r="U334" s="53"/>
      <c r="V334" s="54" t="str">
        <f t="shared" ca="1" si="2"/>
        <v/>
      </c>
      <c r="W334" s="55"/>
      <c r="X334" s="116"/>
      <c r="Y334" s="121"/>
      <c r="Z334" s="122"/>
      <c r="AA334" s="122"/>
      <c r="AB334" s="116"/>
      <c r="AC334" s="121"/>
      <c r="AD334" s="122"/>
      <c r="AE334" s="122"/>
      <c r="AF334" s="116"/>
      <c r="AG334" s="123"/>
    </row>
    <row r="335" spans="1:33" s="15" customFormat="1" ht="25.5" customHeight="1" x14ac:dyDescent="0.3">
      <c r="A335" s="131"/>
      <c r="B335" s="50"/>
      <c r="C335" s="50"/>
      <c r="D335" s="49"/>
      <c r="E335" s="127"/>
      <c r="F335" s="50"/>
      <c r="G335" s="50"/>
      <c r="H335" s="124"/>
      <c r="I335" s="51"/>
      <c r="J335" s="116" t="s">
        <v>61</v>
      </c>
      <c r="K335" s="140"/>
      <c r="L335" s="125"/>
      <c r="M335" s="125"/>
      <c r="N335" s="149"/>
      <c r="O335" s="125"/>
      <c r="P335" s="126" t="str">
        <f>(IFERROR(VLOOKUP(K335,[2]Sampling!$A$2:$D$995,4,FALSE),IFERROR(VLOOKUP(K335,'[2]Other Queries'!$A$2:$E$1000,5,FALSE),IFERROR(VLOOKUP(K335,'[2]Statement Confirmation'!$A$2:$F$1000,6,FALSE),""))))</f>
        <v/>
      </c>
      <c r="Q335" s="117"/>
      <c r="R335" s="51"/>
      <c r="S335" s="52" t="s">
        <v>61</v>
      </c>
      <c r="T335" s="53"/>
      <c r="U335" s="53"/>
      <c r="V335" s="54" t="str">
        <f t="shared" ca="1" si="2"/>
        <v/>
      </c>
      <c r="W335" s="55"/>
      <c r="X335" s="116"/>
      <c r="Y335" s="121"/>
      <c r="Z335" s="122"/>
      <c r="AA335" s="122"/>
      <c r="AB335" s="116"/>
      <c r="AC335" s="121"/>
      <c r="AD335" s="122"/>
      <c r="AE335" s="122"/>
      <c r="AF335" s="116"/>
      <c r="AG335" s="123"/>
    </row>
    <row r="336" spans="1:33" s="15" customFormat="1" ht="25.5" customHeight="1" x14ac:dyDescent="0.3">
      <c r="A336" s="131"/>
      <c r="B336" s="50"/>
      <c r="C336" s="50"/>
      <c r="D336" s="49"/>
      <c r="E336" s="127"/>
      <c r="F336" s="50"/>
      <c r="G336" s="50"/>
      <c r="H336" s="124"/>
      <c r="I336" s="51"/>
      <c r="J336" s="116" t="s">
        <v>61</v>
      </c>
      <c r="K336" s="140"/>
      <c r="L336" s="125"/>
      <c r="M336" s="125"/>
      <c r="N336" s="149"/>
      <c r="O336" s="125"/>
      <c r="P336" s="126" t="str">
        <f>(IFERROR(VLOOKUP(K336,[2]Sampling!$A$2:$D$995,4,FALSE),IFERROR(VLOOKUP(K336,'[2]Other Queries'!$A$2:$E$1000,5,FALSE),IFERROR(VLOOKUP(K336,'[2]Statement Confirmation'!$A$2:$F$1000,6,FALSE),""))))</f>
        <v/>
      </c>
      <c r="Q336" s="117"/>
      <c r="R336" s="51"/>
      <c r="S336" s="52" t="s">
        <v>61</v>
      </c>
      <c r="T336" s="53"/>
      <c r="U336" s="53"/>
      <c r="V336" s="54" t="str">
        <f t="shared" ca="1" si="2"/>
        <v/>
      </c>
      <c r="W336" s="55"/>
      <c r="X336" s="116"/>
      <c r="Y336" s="121"/>
      <c r="Z336" s="122"/>
      <c r="AA336" s="122"/>
      <c r="AB336" s="116"/>
      <c r="AC336" s="121"/>
      <c r="AD336" s="122"/>
      <c r="AE336" s="122"/>
      <c r="AF336" s="116"/>
      <c r="AG336" s="123"/>
    </row>
    <row r="337" spans="1:33" s="15" customFormat="1" ht="25.5" customHeight="1" x14ac:dyDescent="0.3">
      <c r="A337" s="131"/>
      <c r="B337" s="50"/>
      <c r="C337" s="50"/>
      <c r="D337" s="49"/>
      <c r="E337" s="127"/>
      <c r="F337" s="50"/>
      <c r="G337" s="50"/>
      <c r="H337" s="124"/>
      <c r="I337" s="51"/>
      <c r="J337" s="116" t="s">
        <v>61</v>
      </c>
      <c r="K337" s="140"/>
      <c r="L337" s="125"/>
      <c r="M337" s="125"/>
      <c r="N337" s="149"/>
      <c r="O337" s="125"/>
      <c r="P337" s="126" t="str">
        <f>(IFERROR(VLOOKUP(K337,[2]Sampling!$A$2:$D$995,4,FALSE),IFERROR(VLOOKUP(K337,'[2]Other Queries'!$A$2:$E$1000,5,FALSE),IFERROR(VLOOKUP(K337,'[2]Statement Confirmation'!$A$2:$F$1000,6,FALSE),""))))</f>
        <v/>
      </c>
      <c r="Q337" s="117"/>
      <c r="R337" s="51"/>
      <c r="S337" s="52" t="s">
        <v>61</v>
      </c>
      <c r="T337" s="53"/>
      <c r="U337" s="53"/>
      <c r="V337" s="54" t="str">
        <f t="shared" ca="1" si="2"/>
        <v/>
      </c>
      <c r="W337" s="55"/>
      <c r="X337" s="116"/>
      <c r="Y337" s="121"/>
      <c r="Z337" s="122"/>
      <c r="AA337" s="122"/>
      <c r="AB337" s="116"/>
      <c r="AC337" s="121"/>
      <c r="AD337" s="122"/>
      <c r="AE337" s="122"/>
      <c r="AF337" s="116"/>
      <c r="AG337" s="123"/>
    </row>
    <row r="338" spans="1:33" s="15" customFormat="1" ht="25.5" customHeight="1" x14ac:dyDescent="0.3">
      <c r="A338" s="131"/>
      <c r="B338" s="50"/>
      <c r="C338" s="50"/>
      <c r="D338" s="49"/>
      <c r="E338" s="127"/>
      <c r="F338" s="50"/>
      <c r="G338" s="50"/>
      <c r="H338" s="124"/>
      <c r="I338" s="51"/>
      <c r="J338" s="116" t="s">
        <v>61</v>
      </c>
      <c r="K338" s="140"/>
      <c r="L338" s="125"/>
      <c r="M338" s="125"/>
      <c r="N338" s="149"/>
      <c r="O338" s="125"/>
      <c r="P338" s="126" t="str">
        <f>(IFERROR(VLOOKUP(K338,[2]Sampling!$A$2:$D$995,4,FALSE),IFERROR(VLOOKUP(K338,'[2]Other Queries'!$A$2:$E$1000,5,FALSE),IFERROR(VLOOKUP(K338,'[2]Statement Confirmation'!$A$2:$F$1000,6,FALSE),""))))</f>
        <v/>
      </c>
      <c r="Q338" s="117"/>
      <c r="R338" s="51"/>
      <c r="S338" s="52" t="s">
        <v>61</v>
      </c>
      <c r="T338" s="53"/>
      <c r="U338" s="53"/>
      <c r="V338" s="54" t="str">
        <f t="shared" ca="1" si="2"/>
        <v/>
      </c>
      <c r="W338" s="55"/>
      <c r="X338" s="116"/>
      <c r="Y338" s="121"/>
      <c r="Z338" s="122"/>
      <c r="AA338" s="122"/>
      <c r="AB338" s="116"/>
      <c r="AC338" s="121"/>
      <c r="AD338" s="122"/>
      <c r="AE338" s="122"/>
      <c r="AF338" s="116"/>
      <c r="AG338" s="123"/>
    </row>
    <row r="339" spans="1:33" s="15" customFormat="1" ht="25.5" customHeight="1" x14ac:dyDescent="0.3">
      <c r="A339" s="131"/>
      <c r="B339" s="50"/>
      <c r="C339" s="50"/>
      <c r="D339" s="49"/>
      <c r="E339" s="127"/>
      <c r="F339" s="50"/>
      <c r="G339" s="50"/>
      <c r="H339" s="124"/>
      <c r="I339" s="51"/>
      <c r="J339" s="116" t="s">
        <v>61</v>
      </c>
      <c r="K339" s="140"/>
      <c r="L339" s="125"/>
      <c r="M339" s="125"/>
      <c r="N339" s="149"/>
      <c r="O339" s="125"/>
      <c r="P339" s="126" t="str">
        <f>(IFERROR(VLOOKUP(K339,[2]Sampling!$A$2:$D$995,4,FALSE),IFERROR(VLOOKUP(K339,'[2]Other Queries'!$A$2:$E$1000,5,FALSE),IFERROR(VLOOKUP(K339,'[2]Statement Confirmation'!$A$2:$F$1000,6,FALSE),""))))</f>
        <v/>
      </c>
      <c r="Q339" s="117"/>
      <c r="R339" s="51"/>
      <c r="S339" s="52" t="s">
        <v>61</v>
      </c>
      <c r="T339" s="53"/>
      <c r="U339" s="53"/>
      <c r="V339" s="54" t="str">
        <f t="shared" ca="1" si="2"/>
        <v/>
      </c>
      <c r="W339" s="55"/>
      <c r="X339" s="116"/>
      <c r="Y339" s="121"/>
      <c r="Z339" s="122"/>
      <c r="AA339" s="122"/>
      <c r="AB339" s="116"/>
      <c r="AC339" s="121"/>
      <c r="AD339" s="122"/>
      <c r="AE339" s="122"/>
      <c r="AF339" s="116"/>
      <c r="AG339" s="123"/>
    </row>
    <row r="340" spans="1:33" s="15" customFormat="1" ht="25.5" customHeight="1" x14ac:dyDescent="0.3">
      <c r="A340" s="131"/>
      <c r="B340" s="50"/>
      <c r="C340" s="50"/>
      <c r="D340" s="49"/>
      <c r="E340" s="127"/>
      <c r="F340" s="50"/>
      <c r="G340" s="50"/>
      <c r="H340" s="124"/>
      <c r="I340" s="51"/>
      <c r="J340" s="116" t="s">
        <v>61</v>
      </c>
      <c r="K340" s="140"/>
      <c r="L340" s="125"/>
      <c r="M340" s="125"/>
      <c r="N340" s="149"/>
      <c r="O340" s="125"/>
      <c r="P340" s="126" t="str">
        <f>(IFERROR(VLOOKUP(K340,[2]Sampling!$A$2:$D$995,4,FALSE),IFERROR(VLOOKUP(K340,'[2]Other Queries'!$A$2:$E$1000,5,FALSE),IFERROR(VLOOKUP(K340,'[2]Statement Confirmation'!$A$2:$F$1000,6,FALSE),""))))</f>
        <v/>
      </c>
      <c r="Q340" s="117"/>
      <c r="R340" s="51"/>
      <c r="S340" s="52" t="s">
        <v>61</v>
      </c>
      <c r="T340" s="53"/>
      <c r="U340" s="53"/>
      <c r="V340" s="54" t="str">
        <f t="shared" ca="1" si="2"/>
        <v/>
      </c>
      <c r="W340" s="55"/>
      <c r="X340" s="116"/>
      <c r="Y340" s="121"/>
      <c r="Z340" s="122"/>
      <c r="AA340" s="122"/>
      <c r="AB340" s="116"/>
      <c r="AC340" s="121"/>
      <c r="AD340" s="122"/>
      <c r="AE340" s="122"/>
      <c r="AF340" s="116"/>
      <c r="AG340" s="123"/>
    </row>
    <row r="341" spans="1:33" s="15" customFormat="1" ht="25.5" customHeight="1" x14ac:dyDescent="0.3">
      <c r="A341" s="131"/>
      <c r="B341" s="50"/>
      <c r="C341" s="50"/>
      <c r="D341" s="49"/>
      <c r="E341" s="127"/>
      <c r="F341" s="50"/>
      <c r="G341" s="50"/>
      <c r="H341" s="124"/>
      <c r="I341" s="51"/>
      <c r="J341" s="116" t="s">
        <v>61</v>
      </c>
      <c r="K341" s="140"/>
      <c r="L341" s="125"/>
      <c r="M341" s="125"/>
      <c r="N341" s="149"/>
      <c r="O341" s="125"/>
      <c r="P341" s="126" t="str">
        <f>(IFERROR(VLOOKUP(K341,[2]Sampling!$A$2:$D$995,4,FALSE),IFERROR(VLOOKUP(K341,'[2]Other Queries'!$A$2:$E$1000,5,FALSE),IFERROR(VLOOKUP(K341,'[2]Statement Confirmation'!$A$2:$F$1000,6,FALSE),""))))</f>
        <v/>
      </c>
      <c r="Q341" s="117"/>
      <c r="R341" s="51"/>
      <c r="S341" s="52" t="s">
        <v>61</v>
      </c>
      <c r="T341" s="53"/>
      <c r="U341" s="53"/>
      <c r="V341" s="54" t="str">
        <f t="shared" ca="1" si="2"/>
        <v/>
      </c>
      <c r="W341" s="55"/>
      <c r="X341" s="116"/>
      <c r="Y341" s="121"/>
      <c r="Z341" s="122"/>
      <c r="AA341" s="122"/>
      <c r="AB341" s="116"/>
      <c r="AC341" s="121"/>
      <c r="AD341" s="122"/>
      <c r="AE341" s="122"/>
      <c r="AF341" s="116"/>
      <c r="AG341" s="123"/>
    </row>
    <row r="342" spans="1:33" s="15" customFormat="1" ht="25.5" customHeight="1" x14ac:dyDescent="0.3">
      <c r="A342" s="131"/>
      <c r="B342" s="50"/>
      <c r="C342" s="50"/>
      <c r="D342" s="49"/>
      <c r="E342" s="127"/>
      <c r="F342" s="50"/>
      <c r="G342" s="50"/>
      <c r="H342" s="124"/>
      <c r="I342" s="51"/>
      <c r="J342" s="116" t="s">
        <v>61</v>
      </c>
      <c r="K342" s="140"/>
      <c r="L342" s="125"/>
      <c r="M342" s="125"/>
      <c r="N342" s="149"/>
      <c r="O342" s="125"/>
      <c r="P342" s="126" t="str">
        <f>(IFERROR(VLOOKUP(K342,[2]Sampling!$A$2:$D$995,4,FALSE),IFERROR(VLOOKUP(K342,'[2]Other Queries'!$A$2:$E$1000,5,FALSE),IFERROR(VLOOKUP(K342,'[2]Statement Confirmation'!$A$2:$F$1000,6,FALSE),""))))</f>
        <v/>
      </c>
      <c r="Q342" s="117"/>
      <c r="R342" s="51"/>
      <c r="S342" s="52" t="s">
        <v>61</v>
      </c>
      <c r="T342" s="53"/>
      <c r="U342" s="53"/>
      <c r="V342" s="54" t="str">
        <f t="shared" ca="1" si="2"/>
        <v/>
      </c>
      <c r="W342" s="55"/>
      <c r="X342" s="116"/>
      <c r="Y342" s="121"/>
      <c r="Z342" s="122"/>
      <c r="AA342" s="122"/>
      <c r="AB342" s="116"/>
      <c r="AC342" s="121"/>
      <c r="AD342" s="122"/>
      <c r="AE342" s="122"/>
      <c r="AF342" s="116"/>
      <c r="AG342" s="123"/>
    </row>
    <row r="343" spans="1:33" s="15" customFormat="1" ht="25.5" customHeight="1" x14ac:dyDescent="0.3">
      <c r="A343" s="131"/>
      <c r="B343" s="50"/>
      <c r="C343" s="50"/>
      <c r="D343" s="49"/>
      <c r="E343" s="127"/>
      <c r="F343" s="50"/>
      <c r="G343" s="50"/>
      <c r="H343" s="124"/>
      <c r="I343" s="51"/>
      <c r="J343" s="116" t="s">
        <v>61</v>
      </c>
      <c r="K343" s="140"/>
      <c r="L343" s="125"/>
      <c r="M343" s="125"/>
      <c r="N343" s="149"/>
      <c r="O343" s="125"/>
      <c r="P343" s="126" t="str">
        <f>(IFERROR(VLOOKUP(K343,[2]Sampling!$A$2:$D$995,4,FALSE),IFERROR(VLOOKUP(K343,'[2]Other Queries'!$A$2:$E$1000,5,FALSE),IFERROR(VLOOKUP(K343,'[2]Statement Confirmation'!$A$2:$F$1000,6,FALSE),""))))</f>
        <v/>
      </c>
      <c r="Q343" s="117"/>
      <c r="R343" s="51"/>
      <c r="S343" s="52" t="s">
        <v>61</v>
      </c>
      <c r="T343" s="53"/>
      <c r="U343" s="53"/>
      <c r="V343" s="54" t="str">
        <f t="shared" ca="1" si="2"/>
        <v/>
      </c>
      <c r="W343" s="55"/>
      <c r="X343" s="116"/>
      <c r="Y343" s="121"/>
      <c r="Z343" s="122"/>
      <c r="AA343" s="122"/>
      <c r="AB343" s="116"/>
      <c r="AC343" s="121"/>
      <c r="AD343" s="122"/>
      <c r="AE343" s="122"/>
      <c r="AF343" s="116"/>
      <c r="AG343" s="123"/>
    </row>
    <row r="344" spans="1:33" s="15" customFormat="1" ht="25.5" customHeight="1" x14ac:dyDescent="0.3">
      <c r="A344" s="131"/>
      <c r="B344" s="50"/>
      <c r="C344" s="50"/>
      <c r="D344" s="49"/>
      <c r="E344" s="127"/>
      <c r="F344" s="50"/>
      <c r="G344" s="50"/>
      <c r="H344" s="124"/>
      <c r="I344" s="51"/>
      <c r="J344" s="116" t="s">
        <v>61</v>
      </c>
      <c r="K344" s="140"/>
      <c r="L344" s="125"/>
      <c r="M344" s="125"/>
      <c r="N344" s="149"/>
      <c r="O344" s="125"/>
      <c r="P344" s="126" t="str">
        <f>(IFERROR(VLOOKUP(K344,[2]Sampling!$A$2:$D$995,4,FALSE),IFERROR(VLOOKUP(K344,'[2]Other Queries'!$A$2:$E$1000,5,FALSE),IFERROR(VLOOKUP(K344,'[2]Statement Confirmation'!$A$2:$F$1000,6,FALSE),""))))</f>
        <v/>
      </c>
      <c r="Q344" s="117"/>
      <c r="R344" s="51"/>
      <c r="S344" s="52" t="s">
        <v>61</v>
      </c>
      <c r="T344" s="53"/>
      <c r="U344" s="53"/>
      <c r="V344" s="54" t="str">
        <f t="shared" ca="1" si="2"/>
        <v/>
      </c>
      <c r="W344" s="55"/>
      <c r="X344" s="116"/>
      <c r="Y344" s="121"/>
      <c r="Z344" s="122"/>
      <c r="AA344" s="122"/>
      <c r="AB344" s="116"/>
      <c r="AC344" s="121"/>
      <c r="AD344" s="122"/>
      <c r="AE344" s="122"/>
      <c r="AF344" s="116"/>
      <c r="AG344" s="123"/>
    </row>
    <row r="345" spans="1:33" s="15" customFormat="1" ht="25.5" customHeight="1" x14ac:dyDescent="0.3">
      <c r="A345" s="147"/>
      <c r="I345" s="51"/>
      <c r="J345" s="116" t="s">
        <v>61</v>
      </c>
      <c r="K345" s="140"/>
      <c r="L345" s="125"/>
      <c r="M345" s="125"/>
      <c r="N345" s="149"/>
      <c r="O345" s="125"/>
      <c r="P345" s="126" t="str">
        <f>(IFERROR(VLOOKUP(K345,[2]Sampling!$A$2:$D$995,4,FALSE),IFERROR(VLOOKUP(K345,'[2]Other Queries'!$A$2:$E$1000,5,FALSE),IFERROR(VLOOKUP(K345,'[2]Statement Confirmation'!$A$2:$F$1000,6,FALSE),""))))</f>
        <v/>
      </c>
      <c r="Q345" s="117"/>
      <c r="R345" s="51"/>
      <c r="S345" s="52" t="s">
        <v>61</v>
      </c>
      <c r="T345" s="53"/>
      <c r="U345" s="53"/>
      <c r="V345" s="54" t="str">
        <f t="shared" ca="1" si="2"/>
        <v/>
      </c>
      <c r="W345" s="55"/>
      <c r="X345" s="116"/>
      <c r="Y345" s="121"/>
      <c r="Z345" s="122"/>
      <c r="AA345" s="122"/>
      <c r="AB345" s="116"/>
      <c r="AC345" s="121"/>
      <c r="AD345" s="122"/>
      <c r="AE345" s="122"/>
      <c r="AF345" s="116"/>
      <c r="AG345" s="123"/>
    </row>
    <row r="346" spans="1:33" s="15" customFormat="1" ht="25.5" customHeight="1" x14ac:dyDescent="0.3">
      <c r="A346" s="147"/>
      <c r="I346" s="51"/>
      <c r="J346" s="116" t="s">
        <v>61</v>
      </c>
      <c r="K346" s="140"/>
      <c r="L346" s="125"/>
      <c r="M346" s="125"/>
      <c r="N346" s="149"/>
      <c r="O346" s="125"/>
      <c r="P346" s="126" t="str">
        <f>(IFERROR(VLOOKUP(K346,[2]Sampling!$A$2:$D$995,4,FALSE),IFERROR(VLOOKUP(K346,'[2]Other Queries'!$A$2:$E$1000,5,FALSE),IFERROR(VLOOKUP(K346,'[2]Statement Confirmation'!$A$2:$F$1000,6,FALSE),""))))</f>
        <v/>
      </c>
      <c r="Q346" s="117"/>
      <c r="R346" s="51"/>
      <c r="S346" s="52" t="s">
        <v>61</v>
      </c>
      <c r="T346" s="53"/>
      <c r="U346" s="53"/>
      <c r="V346" s="54" t="str">
        <f t="shared" ca="1" si="2"/>
        <v/>
      </c>
      <c r="W346" s="55"/>
      <c r="X346" s="116"/>
      <c r="Y346" s="121"/>
      <c r="Z346" s="122"/>
      <c r="AA346" s="122"/>
      <c r="AB346" s="116"/>
      <c r="AC346" s="121"/>
      <c r="AD346" s="122"/>
      <c r="AE346" s="122"/>
      <c r="AF346" s="116"/>
      <c r="AG346" s="123"/>
    </row>
    <row r="347" spans="1:33" s="15" customFormat="1" ht="25.5" customHeight="1" x14ac:dyDescent="0.3">
      <c r="A347" s="147"/>
      <c r="I347" s="51"/>
      <c r="J347" s="116" t="s">
        <v>61</v>
      </c>
      <c r="K347" s="140"/>
      <c r="L347" s="125"/>
      <c r="M347" s="125"/>
      <c r="N347" s="149"/>
      <c r="O347" s="125"/>
      <c r="P347" s="126" t="str">
        <f>(IFERROR(VLOOKUP(K347,[2]Sampling!$A$2:$D$995,4,FALSE),IFERROR(VLOOKUP(K347,'[2]Other Queries'!$A$2:$E$1000,5,FALSE),IFERROR(VLOOKUP(K347,'[2]Statement Confirmation'!$A$2:$F$1000,6,FALSE),""))))</f>
        <v/>
      </c>
      <c r="Q347" s="117"/>
      <c r="R347" s="51"/>
      <c r="S347" s="52" t="s">
        <v>61</v>
      </c>
      <c r="T347" s="53"/>
      <c r="U347" s="53"/>
      <c r="V347" s="54" t="str">
        <f t="shared" ca="1" si="2"/>
        <v/>
      </c>
      <c r="W347" s="55"/>
      <c r="X347" s="116"/>
      <c r="Y347" s="121"/>
      <c r="Z347" s="122"/>
      <c r="AA347" s="122"/>
      <c r="AB347" s="116"/>
      <c r="AC347" s="121"/>
      <c r="AD347" s="122"/>
      <c r="AE347" s="122"/>
      <c r="AF347" s="116"/>
      <c r="AG347" s="123"/>
    </row>
    <row r="348" spans="1:33" s="15" customFormat="1" ht="25.5" customHeight="1" x14ac:dyDescent="0.3">
      <c r="A348" s="147"/>
      <c r="I348" s="51"/>
      <c r="J348" s="116" t="s">
        <v>61</v>
      </c>
      <c r="K348" s="140"/>
      <c r="L348" s="125"/>
      <c r="M348" s="125"/>
      <c r="N348" s="149"/>
      <c r="O348" s="125"/>
      <c r="P348" s="126" t="str">
        <f>(IFERROR(VLOOKUP(K348,[2]Sampling!$A$2:$D$995,4,FALSE),IFERROR(VLOOKUP(K348,'[2]Other Queries'!$A$2:$E$1000,5,FALSE),IFERROR(VLOOKUP(K348,'[2]Statement Confirmation'!$A$2:$F$1000,6,FALSE),""))))</f>
        <v/>
      </c>
      <c r="Q348" s="117"/>
      <c r="R348" s="51"/>
      <c r="S348" s="52" t="s">
        <v>61</v>
      </c>
      <c r="T348" s="53"/>
      <c r="U348" s="53"/>
      <c r="V348" s="54" t="str">
        <f t="shared" ca="1" si="2"/>
        <v/>
      </c>
      <c r="W348" s="55"/>
      <c r="X348" s="116"/>
      <c r="Y348" s="121"/>
      <c r="Z348" s="122"/>
      <c r="AA348" s="122"/>
      <c r="AB348" s="116"/>
      <c r="AC348" s="121"/>
      <c r="AD348" s="122"/>
      <c r="AE348" s="122"/>
      <c r="AF348" s="116"/>
      <c r="AG348" s="123"/>
    </row>
    <row r="349" spans="1:33" s="15" customFormat="1" ht="25.5" customHeight="1" x14ac:dyDescent="0.3">
      <c r="A349" s="147"/>
      <c r="I349" s="51"/>
      <c r="J349" s="116" t="s">
        <v>61</v>
      </c>
      <c r="K349" s="140"/>
      <c r="L349" s="125"/>
      <c r="M349" s="125"/>
      <c r="N349" s="149"/>
      <c r="O349" s="125"/>
      <c r="P349" s="126" t="str">
        <f>(IFERROR(VLOOKUP(K349,[2]Sampling!$A$2:$D$995,4,FALSE),IFERROR(VLOOKUP(K349,'[2]Other Queries'!$A$2:$E$1000,5,FALSE),IFERROR(VLOOKUP(K349,'[2]Statement Confirmation'!$A$2:$F$1000,6,FALSE),""))))</f>
        <v/>
      </c>
      <c r="Q349" s="117"/>
      <c r="R349" s="51"/>
      <c r="S349" s="52" t="s">
        <v>61</v>
      </c>
      <c r="T349" s="53"/>
      <c r="U349" s="53"/>
      <c r="V349" s="54" t="str">
        <f t="shared" ca="1" si="2"/>
        <v/>
      </c>
      <c r="W349" s="55"/>
      <c r="X349" s="116"/>
      <c r="Y349" s="121"/>
      <c r="Z349" s="122"/>
      <c r="AA349" s="122"/>
      <c r="AB349" s="116"/>
      <c r="AC349" s="121"/>
      <c r="AD349" s="122"/>
      <c r="AE349" s="122"/>
      <c r="AF349" s="116"/>
      <c r="AG349" s="123"/>
    </row>
    <row r="350" spans="1:33" s="15" customFormat="1" ht="25.5" customHeight="1" x14ac:dyDescent="0.3">
      <c r="A350" s="147"/>
      <c r="I350" s="51"/>
      <c r="J350" s="116" t="s">
        <v>61</v>
      </c>
      <c r="K350" s="140"/>
      <c r="L350" s="125"/>
      <c r="M350" s="125"/>
      <c r="N350" s="149"/>
      <c r="O350" s="125"/>
      <c r="P350" s="126" t="str">
        <f>(IFERROR(VLOOKUP(K350,[2]Sampling!$A$2:$D$995,4,FALSE),IFERROR(VLOOKUP(K350,'[2]Other Queries'!$A$2:$E$1000,5,FALSE),IFERROR(VLOOKUP(K350,'[2]Statement Confirmation'!$A$2:$F$1000,6,FALSE),""))))</f>
        <v/>
      </c>
      <c r="Q350" s="117"/>
      <c r="R350" s="51"/>
      <c r="S350" s="52" t="s">
        <v>61</v>
      </c>
      <c r="T350" s="53"/>
      <c r="U350" s="53"/>
      <c r="V350" s="54" t="str">
        <f t="shared" ca="1" si="2"/>
        <v/>
      </c>
      <c r="W350" s="55"/>
      <c r="X350" s="116"/>
      <c r="Y350" s="121"/>
      <c r="Z350" s="122"/>
      <c r="AA350" s="122"/>
      <c r="AB350" s="116"/>
      <c r="AC350" s="121"/>
      <c r="AD350" s="122"/>
      <c r="AE350" s="122"/>
      <c r="AF350" s="116"/>
      <c r="AG350" s="123"/>
    </row>
    <row r="351" spans="1:33" s="15" customFormat="1" ht="25.5" customHeight="1" x14ac:dyDescent="0.3">
      <c r="A351" s="147"/>
      <c r="I351" s="51"/>
      <c r="J351" s="116" t="s">
        <v>61</v>
      </c>
      <c r="K351" s="140"/>
      <c r="L351" s="125"/>
      <c r="M351" s="125"/>
      <c r="N351" s="149"/>
      <c r="O351" s="125"/>
      <c r="P351" s="126" t="str">
        <f>(IFERROR(VLOOKUP(K351,[2]Sampling!$A$2:$D$995,4,FALSE),IFERROR(VLOOKUP(K351,'[2]Other Queries'!$A$2:$E$1000,5,FALSE),IFERROR(VLOOKUP(K351,'[2]Statement Confirmation'!$A$2:$F$1000,6,FALSE),""))))</f>
        <v/>
      </c>
      <c r="Q351" s="117"/>
      <c r="R351" s="51"/>
      <c r="S351" s="52" t="s">
        <v>61</v>
      </c>
      <c r="T351" s="53"/>
      <c r="U351" s="53"/>
      <c r="V351" s="54" t="str">
        <f t="shared" ca="1" si="2"/>
        <v/>
      </c>
      <c r="W351" s="55"/>
      <c r="X351" s="116"/>
      <c r="Y351" s="121"/>
      <c r="Z351" s="122"/>
      <c r="AA351" s="122"/>
      <c r="AB351" s="116"/>
      <c r="AC351" s="121"/>
      <c r="AD351" s="122"/>
      <c r="AE351" s="122"/>
      <c r="AF351" s="116"/>
      <c r="AG351" s="123"/>
    </row>
    <row r="352" spans="1:33" s="15" customFormat="1" ht="25.5" customHeight="1" x14ac:dyDescent="0.3">
      <c r="A352" s="147"/>
      <c r="I352" s="51"/>
      <c r="J352" s="150" t="s">
        <v>61</v>
      </c>
      <c r="K352" s="151"/>
      <c r="L352" s="152"/>
      <c r="M352" s="152"/>
      <c r="N352" s="153"/>
      <c r="O352" s="152"/>
      <c r="P352" s="126" t="str">
        <f>(IFERROR(VLOOKUP(K352,[2]Sampling!$A$2:$D$995,4,FALSE),IFERROR(VLOOKUP(K352,'[2]Other Queries'!$A$2:$E$1000,5,FALSE),IFERROR(VLOOKUP(K352,'[2]Statement Confirmation'!$A$2:$F$1000,6,FALSE),""))))</f>
        <v/>
      </c>
      <c r="Q352" s="154"/>
      <c r="R352" s="155"/>
      <c r="S352" s="52" t="s">
        <v>61</v>
      </c>
      <c r="T352" s="53"/>
      <c r="U352" s="53"/>
      <c r="V352" s="54" t="str">
        <f t="shared" ca="1" si="2"/>
        <v/>
      </c>
      <c r="W352" s="156"/>
      <c r="X352" s="150"/>
      <c r="Y352" s="157"/>
      <c r="Z352" s="158"/>
      <c r="AA352" s="158"/>
      <c r="AB352" s="150"/>
      <c r="AC352" s="157"/>
      <c r="AD352" s="158"/>
      <c r="AE352" s="158"/>
      <c r="AF352" s="150"/>
      <c r="AG352" s="159"/>
    </row>
    <row r="353" spans="1:8" x14ac:dyDescent="0.25">
      <c r="A353" s="147"/>
      <c r="C353" s="15"/>
      <c r="D353" s="15"/>
      <c r="E353" s="15"/>
      <c r="F353" s="15"/>
      <c r="G353" s="15"/>
      <c r="H353" s="15"/>
    </row>
    <row r="354" spans="1:8" x14ac:dyDescent="0.25">
      <c r="A354" s="147"/>
      <c r="C354" s="15"/>
      <c r="D354" s="15"/>
      <c r="E354" s="15"/>
      <c r="F354" s="15"/>
      <c r="G354" s="15"/>
      <c r="H354" s="15"/>
    </row>
    <row r="355" spans="1:8" x14ac:dyDescent="0.25">
      <c r="A355" s="147"/>
      <c r="C355" s="15"/>
      <c r="D355" s="15"/>
      <c r="E355" s="15"/>
      <c r="F355" s="15"/>
      <c r="G355" s="15"/>
      <c r="H355" s="15"/>
    </row>
    <row r="356" spans="1:8" x14ac:dyDescent="0.25">
      <c r="A356" s="147"/>
      <c r="C356" s="15"/>
      <c r="D356" s="15"/>
      <c r="E356" s="15"/>
      <c r="F356" s="15"/>
      <c r="G356" s="15"/>
      <c r="H356" s="15"/>
    </row>
    <row r="357" spans="1:8" x14ac:dyDescent="0.25">
      <c r="A357" s="147"/>
      <c r="C357" s="15"/>
      <c r="D357" s="15"/>
      <c r="E357" s="15"/>
      <c r="F357" s="15"/>
      <c r="G357" s="15"/>
      <c r="H357" s="15"/>
    </row>
    <row r="358" spans="1:8" x14ac:dyDescent="0.25">
      <c r="A358" s="147"/>
      <c r="C358" s="15"/>
      <c r="D358" s="15"/>
      <c r="E358" s="15"/>
      <c r="F358" s="15"/>
      <c r="G358" s="15"/>
      <c r="H358" s="15"/>
    </row>
    <row r="359" spans="1:8" x14ac:dyDescent="0.25">
      <c r="A359" s="147"/>
      <c r="C359" s="15"/>
      <c r="D359" s="15"/>
      <c r="E359" s="15"/>
      <c r="F359" s="15"/>
      <c r="G359" s="15"/>
      <c r="H359" s="15"/>
    </row>
    <row r="360" spans="1:8" x14ac:dyDescent="0.25">
      <c r="A360" s="147"/>
      <c r="C360" s="15"/>
      <c r="D360" s="15"/>
      <c r="E360" s="15"/>
      <c r="F360" s="15"/>
      <c r="G360" s="15"/>
      <c r="H360" s="15"/>
    </row>
    <row r="361" spans="1:8" x14ac:dyDescent="0.25">
      <c r="A361" s="147"/>
      <c r="C361" s="15"/>
      <c r="D361" s="15"/>
      <c r="E361" s="15"/>
      <c r="F361" s="15"/>
      <c r="G361" s="15"/>
      <c r="H361" s="15"/>
    </row>
    <row r="362" spans="1:8" x14ac:dyDescent="0.25">
      <c r="A362" s="147"/>
      <c r="C362" s="15"/>
      <c r="D362" s="15"/>
      <c r="E362" s="15"/>
      <c r="F362" s="15"/>
      <c r="G362" s="15"/>
      <c r="H362" s="15"/>
    </row>
    <row r="363" spans="1:8" x14ac:dyDescent="0.25">
      <c r="A363" s="147"/>
      <c r="C363" s="15"/>
      <c r="D363" s="15"/>
      <c r="E363" s="15"/>
      <c r="F363" s="15"/>
      <c r="G363" s="15"/>
      <c r="H363" s="15"/>
    </row>
    <row r="364" spans="1:8" x14ac:dyDescent="0.25">
      <c r="A364" s="147"/>
      <c r="C364" s="15"/>
      <c r="D364" s="15"/>
      <c r="E364" s="15"/>
      <c r="F364" s="15"/>
      <c r="G364" s="15"/>
      <c r="H364" s="15"/>
    </row>
    <row r="365" spans="1:8" x14ac:dyDescent="0.25">
      <c r="A365" s="147"/>
      <c r="C365" s="15"/>
      <c r="D365" s="15"/>
      <c r="E365" s="15"/>
      <c r="F365" s="15"/>
      <c r="G365" s="15"/>
      <c r="H365" s="15"/>
    </row>
    <row r="366" spans="1:8" x14ac:dyDescent="0.25">
      <c r="A366" s="147"/>
      <c r="C366" s="15"/>
      <c r="D366" s="15"/>
      <c r="E366" s="15"/>
      <c r="F366" s="15"/>
      <c r="G366" s="15"/>
      <c r="H366" s="15"/>
    </row>
    <row r="367" spans="1:8" x14ac:dyDescent="0.25">
      <c r="A367" s="147"/>
      <c r="C367" s="15"/>
      <c r="D367" s="15"/>
      <c r="E367" s="15"/>
      <c r="F367" s="15"/>
      <c r="G367" s="15"/>
      <c r="H367" s="15"/>
    </row>
    <row r="368" spans="1:8" x14ac:dyDescent="0.25">
      <c r="A368" s="147"/>
      <c r="C368" s="15"/>
      <c r="D368" s="15"/>
      <c r="E368" s="15"/>
      <c r="F368" s="15"/>
      <c r="G368" s="15"/>
      <c r="H368" s="15"/>
    </row>
    <row r="369" spans="1:8" x14ac:dyDescent="0.25">
      <c r="A369" s="147"/>
      <c r="C369" s="15"/>
      <c r="D369" s="15"/>
      <c r="E369" s="15"/>
      <c r="F369" s="15"/>
      <c r="G369" s="15"/>
      <c r="H369" s="15"/>
    </row>
    <row r="370" spans="1:8" x14ac:dyDescent="0.25">
      <c r="A370" s="147"/>
      <c r="C370" s="15"/>
      <c r="D370" s="15"/>
      <c r="E370" s="15"/>
      <c r="F370" s="15"/>
      <c r="G370" s="15"/>
      <c r="H370" s="15"/>
    </row>
    <row r="371" spans="1:8" x14ac:dyDescent="0.25">
      <c r="A371" s="147"/>
      <c r="C371" s="15"/>
      <c r="D371" s="15"/>
      <c r="E371" s="15"/>
      <c r="F371" s="15"/>
      <c r="G371" s="15"/>
      <c r="H371" s="15"/>
    </row>
    <row r="372" spans="1:8" x14ac:dyDescent="0.25">
      <c r="A372" s="147"/>
      <c r="C372" s="15"/>
      <c r="D372" s="15"/>
      <c r="E372" s="15"/>
      <c r="F372" s="15"/>
      <c r="G372" s="15"/>
      <c r="H372" s="15"/>
    </row>
    <row r="373" spans="1:8" x14ac:dyDescent="0.25">
      <c r="A373" s="147"/>
      <c r="C373" s="15"/>
      <c r="D373" s="15"/>
      <c r="E373" s="15"/>
      <c r="F373" s="15"/>
      <c r="G373" s="15"/>
      <c r="H373" s="15"/>
    </row>
    <row r="374" spans="1:8" x14ac:dyDescent="0.25">
      <c r="A374" s="147"/>
      <c r="C374" s="15"/>
      <c r="D374" s="15"/>
      <c r="E374" s="15"/>
      <c r="F374" s="15"/>
      <c r="G374" s="15"/>
      <c r="H374" s="15"/>
    </row>
    <row r="375" spans="1:8" x14ac:dyDescent="0.25">
      <c r="A375" s="147"/>
      <c r="C375" s="15"/>
      <c r="D375" s="15"/>
      <c r="E375" s="15"/>
      <c r="F375" s="15"/>
      <c r="G375" s="15"/>
      <c r="H375" s="15"/>
    </row>
    <row r="376" spans="1:8" x14ac:dyDescent="0.25">
      <c r="A376" s="147"/>
      <c r="C376" s="15"/>
      <c r="D376" s="15"/>
      <c r="E376" s="15"/>
      <c r="F376" s="15"/>
      <c r="G376" s="15"/>
      <c r="H376" s="15"/>
    </row>
    <row r="377" spans="1:8" x14ac:dyDescent="0.25">
      <c r="A377" s="147"/>
      <c r="C377" s="15"/>
      <c r="D377" s="15"/>
      <c r="E377" s="15"/>
      <c r="F377" s="15"/>
      <c r="G377" s="15"/>
      <c r="H377" s="15"/>
    </row>
    <row r="378" spans="1:8" x14ac:dyDescent="0.25">
      <c r="A378" s="147"/>
      <c r="C378" s="15"/>
      <c r="D378" s="15"/>
      <c r="E378" s="15"/>
      <c r="F378" s="15"/>
      <c r="G378" s="15"/>
      <c r="H378" s="15"/>
    </row>
    <row r="379" spans="1:8" x14ac:dyDescent="0.25">
      <c r="A379" s="147"/>
      <c r="C379" s="15"/>
      <c r="D379" s="15"/>
      <c r="E379" s="15"/>
      <c r="F379" s="15"/>
      <c r="G379" s="15"/>
      <c r="H379" s="15"/>
    </row>
    <row r="380" spans="1:8" x14ac:dyDescent="0.25">
      <c r="A380" s="147"/>
      <c r="C380" s="15"/>
      <c r="D380" s="15"/>
      <c r="E380" s="15"/>
      <c r="F380" s="15"/>
      <c r="G380" s="15"/>
      <c r="H380" s="15"/>
    </row>
    <row r="381" spans="1:8" x14ac:dyDescent="0.25">
      <c r="A381" s="147"/>
      <c r="C381" s="15"/>
      <c r="D381" s="15"/>
      <c r="E381" s="15"/>
      <c r="F381" s="15"/>
      <c r="G381" s="15"/>
      <c r="H381" s="15"/>
    </row>
    <row r="382" spans="1:8" x14ac:dyDescent="0.25">
      <c r="A382" s="147"/>
      <c r="C382" s="15"/>
      <c r="D382" s="15"/>
      <c r="E382" s="15"/>
      <c r="F382" s="15"/>
      <c r="G382" s="15"/>
      <c r="H382" s="15"/>
    </row>
    <row r="383" spans="1:8" x14ac:dyDescent="0.25">
      <c r="A383" s="147"/>
      <c r="C383" s="15"/>
      <c r="D383" s="15"/>
      <c r="E383" s="15"/>
      <c r="F383" s="15"/>
      <c r="G383" s="15"/>
      <c r="H383" s="15"/>
    </row>
    <row r="384" spans="1:8" x14ac:dyDescent="0.25">
      <c r="A384" s="147"/>
      <c r="C384" s="15"/>
      <c r="D384" s="15"/>
      <c r="E384" s="15"/>
      <c r="F384" s="15"/>
      <c r="G384" s="15"/>
      <c r="H384" s="15"/>
    </row>
    <row r="385" spans="1:8" x14ac:dyDescent="0.25">
      <c r="A385" s="147"/>
      <c r="C385" s="15"/>
      <c r="D385" s="15"/>
      <c r="E385" s="15"/>
      <c r="F385" s="15"/>
      <c r="G385" s="15"/>
      <c r="H385" s="15"/>
    </row>
    <row r="386" spans="1:8" x14ac:dyDescent="0.25">
      <c r="A386" s="147"/>
      <c r="C386" s="15"/>
      <c r="D386" s="15"/>
      <c r="E386" s="15"/>
      <c r="F386" s="15"/>
      <c r="G386" s="15"/>
      <c r="H386" s="15"/>
    </row>
    <row r="387" spans="1:8" x14ac:dyDescent="0.25">
      <c r="A387" s="147"/>
      <c r="C387" s="15"/>
      <c r="D387" s="15"/>
      <c r="E387" s="15"/>
      <c r="F387" s="15"/>
      <c r="G387" s="15"/>
      <c r="H387" s="15"/>
    </row>
    <row r="388" spans="1:8" x14ac:dyDescent="0.25">
      <c r="A388" s="147"/>
      <c r="C388" s="15"/>
      <c r="D388" s="15"/>
      <c r="E388" s="15"/>
      <c r="F388" s="15"/>
      <c r="G388" s="15"/>
      <c r="H388" s="15"/>
    </row>
    <row r="389" spans="1:8" x14ac:dyDescent="0.25">
      <c r="A389" s="147"/>
      <c r="C389" s="15"/>
      <c r="D389" s="15"/>
      <c r="E389" s="15"/>
      <c r="F389" s="15"/>
      <c r="G389" s="15"/>
      <c r="H389" s="15"/>
    </row>
    <row r="390" spans="1:8" x14ac:dyDescent="0.25">
      <c r="A390" s="147"/>
      <c r="C390" s="15"/>
      <c r="D390" s="15"/>
      <c r="E390" s="15"/>
      <c r="F390" s="15"/>
      <c r="G390" s="15"/>
      <c r="H390" s="15"/>
    </row>
    <row r="391" spans="1:8" x14ac:dyDescent="0.25">
      <c r="A391" s="147"/>
      <c r="C391" s="15"/>
      <c r="D391" s="15"/>
      <c r="E391" s="15"/>
      <c r="F391" s="15"/>
      <c r="G391" s="15"/>
      <c r="H391" s="15"/>
    </row>
    <row r="392" spans="1:8" x14ac:dyDescent="0.25">
      <c r="A392" s="147"/>
      <c r="C392" s="15"/>
      <c r="D392" s="15"/>
      <c r="E392" s="15"/>
      <c r="F392" s="15"/>
      <c r="G392" s="15"/>
      <c r="H392" s="15"/>
    </row>
    <row r="393" spans="1:8" x14ac:dyDescent="0.25">
      <c r="A393" s="147"/>
      <c r="C393" s="15"/>
      <c r="D393" s="15"/>
      <c r="E393" s="15"/>
      <c r="F393" s="15"/>
      <c r="G393" s="15"/>
      <c r="H393" s="15"/>
    </row>
    <row r="394" spans="1:8" x14ac:dyDescent="0.25">
      <c r="A394" s="147"/>
      <c r="C394" s="15"/>
      <c r="D394" s="15"/>
      <c r="E394" s="15"/>
      <c r="F394" s="15"/>
      <c r="G394" s="15"/>
      <c r="H394" s="15"/>
    </row>
    <row r="395" spans="1:8" x14ac:dyDescent="0.25">
      <c r="A395" s="147"/>
      <c r="C395" s="15"/>
      <c r="D395" s="15"/>
      <c r="E395" s="15"/>
      <c r="F395" s="15"/>
      <c r="G395" s="15"/>
      <c r="H395" s="15"/>
    </row>
    <row r="396" spans="1:8" x14ac:dyDescent="0.25">
      <c r="A396" s="147"/>
      <c r="C396" s="15"/>
      <c r="D396" s="15"/>
      <c r="E396" s="15"/>
      <c r="F396" s="15"/>
      <c r="G396" s="15"/>
      <c r="H396" s="15"/>
    </row>
    <row r="397" spans="1:8" x14ac:dyDescent="0.25">
      <c r="A397" s="147"/>
      <c r="C397" s="15"/>
      <c r="D397" s="15"/>
      <c r="E397" s="15"/>
      <c r="F397" s="15"/>
      <c r="G397" s="15"/>
      <c r="H397" s="15"/>
    </row>
    <row r="398" spans="1:8" x14ac:dyDescent="0.25">
      <c r="A398" s="147"/>
      <c r="C398" s="15"/>
      <c r="D398" s="15"/>
      <c r="E398" s="15"/>
      <c r="F398" s="15"/>
      <c r="G398" s="15"/>
      <c r="H398" s="15"/>
    </row>
    <row r="399" spans="1:8" x14ac:dyDescent="0.25">
      <c r="A399" s="147"/>
      <c r="C399" s="15"/>
      <c r="D399" s="15"/>
      <c r="E399" s="15"/>
      <c r="F399" s="15"/>
      <c r="G399" s="15"/>
      <c r="H399" s="15"/>
    </row>
    <row r="400" spans="1:8" x14ac:dyDescent="0.25">
      <c r="A400" s="144"/>
      <c r="C400" s="15"/>
      <c r="D400" s="15"/>
      <c r="E400" s="15"/>
      <c r="F400" s="15"/>
      <c r="G400" s="15"/>
      <c r="H400" s="15"/>
    </row>
    <row r="401" spans="1:8" x14ac:dyDescent="0.25">
      <c r="A401" s="144"/>
      <c r="C401" s="15"/>
      <c r="D401" s="15"/>
      <c r="E401" s="15"/>
      <c r="F401" s="15"/>
      <c r="G401" s="15"/>
      <c r="H401" s="15"/>
    </row>
    <row r="402" spans="1:8" x14ac:dyDescent="0.25">
      <c r="A402" s="144"/>
      <c r="C402" s="15"/>
      <c r="D402" s="15"/>
      <c r="E402" s="15"/>
      <c r="F402" s="15"/>
      <c r="G402" s="15"/>
      <c r="H402" s="15"/>
    </row>
    <row r="403" spans="1:8" x14ac:dyDescent="0.25">
      <c r="A403" s="144"/>
      <c r="C403" s="15"/>
      <c r="D403" s="15"/>
      <c r="E403" s="15"/>
      <c r="F403" s="15"/>
      <c r="G403" s="15"/>
      <c r="H403" s="15"/>
    </row>
    <row r="404" spans="1:8" x14ac:dyDescent="0.25">
      <c r="A404" s="144"/>
      <c r="C404" s="15"/>
      <c r="D404" s="15"/>
      <c r="E404" s="15"/>
      <c r="F404" s="15"/>
      <c r="G404" s="15"/>
      <c r="H404" s="15"/>
    </row>
    <row r="405" spans="1:8" x14ac:dyDescent="0.25">
      <c r="A405" s="144"/>
      <c r="C405" s="15"/>
      <c r="D405" s="15"/>
      <c r="E405" s="15"/>
      <c r="F405" s="15"/>
      <c r="G405" s="15"/>
      <c r="H405" s="15"/>
    </row>
    <row r="406" spans="1:8" x14ac:dyDescent="0.25">
      <c r="A406" s="144"/>
      <c r="C406" s="15"/>
      <c r="D406" s="15"/>
      <c r="E406" s="15"/>
      <c r="F406" s="15"/>
      <c r="G406" s="15"/>
      <c r="H406" s="15"/>
    </row>
    <row r="407" spans="1:8" x14ac:dyDescent="0.25">
      <c r="A407" s="144"/>
      <c r="C407" s="15"/>
      <c r="D407" s="15"/>
      <c r="E407" s="15"/>
      <c r="F407" s="15"/>
      <c r="G407" s="15"/>
      <c r="H407" s="15"/>
    </row>
    <row r="408" spans="1:8" x14ac:dyDescent="0.25">
      <c r="A408" s="144"/>
      <c r="C408" s="15"/>
      <c r="D408" s="15"/>
      <c r="E408" s="15"/>
      <c r="F408" s="15"/>
      <c r="G408" s="15"/>
      <c r="H408" s="15"/>
    </row>
    <row r="409" spans="1:8" x14ac:dyDescent="0.25">
      <c r="A409" s="144"/>
      <c r="C409" s="15"/>
      <c r="D409" s="15"/>
      <c r="E409" s="15"/>
      <c r="F409" s="15"/>
      <c r="G409" s="15"/>
      <c r="H409" s="15"/>
    </row>
    <row r="410" spans="1:8" x14ac:dyDescent="0.25">
      <c r="A410" s="144"/>
      <c r="C410" s="15"/>
      <c r="D410" s="15"/>
      <c r="E410" s="15"/>
      <c r="F410" s="15"/>
      <c r="G410" s="15"/>
      <c r="H410" s="15"/>
    </row>
    <row r="411" spans="1:8" x14ac:dyDescent="0.25">
      <c r="A411" s="144"/>
      <c r="C411" s="15"/>
      <c r="D411" s="15"/>
      <c r="E411" s="15"/>
      <c r="F411" s="15"/>
      <c r="G411" s="15"/>
      <c r="H411" s="15"/>
    </row>
    <row r="412" spans="1:8" x14ac:dyDescent="0.25">
      <c r="A412" s="144"/>
      <c r="C412" s="15"/>
      <c r="D412" s="15"/>
      <c r="E412" s="15"/>
      <c r="F412" s="15"/>
      <c r="G412" s="15"/>
      <c r="H412" s="15"/>
    </row>
    <row r="413" spans="1:8" x14ac:dyDescent="0.25">
      <c r="A413" s="147"/>
      <c r="C413" s="15"/>
      <c r="D413" s="15"/>
      <c r="E413" s="15"/>
      <c r="F413" s="15"/>
      <c r="G413" s="15"/>
      <c r="H413" s="15"/>
    </row>
    <row r="414" spans="1:8" x14ac:dyDescent="0.25">
      <c r="A414" s="147"/>
      <c r="C414" s="15"/>
      <c r="D414" s="15"/>
      <c r="E414" s="15"/>
      <c r="F414" s="15"/>
      <c r="G414" s="15"/>
      <c r="H414" s="15"/>
    </row>
    <row r="415" spans="1:8" x14ac:dyDescent="0.25">
      <c r="A415" s="147"/>
      <c r="C415" s="15"/>
      <c r="D415" s="15"/>
      <c r="E415" s="15"/>
      <c r="F415" s="15"/>
      <c r="G415" s="15"/>
      <c r="H415" s="15"/>
    </row>
    <row r="416" spans="1:8" x14ac:dyDescent="0.25">
      <c r="A416" s="147"/>
      <c r="C416" s="15"/>
      <c r="D416" s="15"/>
      <c r="E416" s="15"/>
      <c r="F416" s="15"/>
      <c r="G416" s="15"/>
      <c r="H416" s="15"/>
    </row>
    <row r="417" spans="1:8" x14ac:dyDescent="0.25">
      <c r="A417" s="147"/>
      <c r="C417" s="15"/>
      <c r="D417" s="15"/>
      <c r="E417" s="15"/>
      <c r="F417" s="15"/>
      <c r="G417" s="15"/>
      <c r="H417" s="15"/>
    </row>
    <row r="418" spans="1:8" x14ac:dyDescent="0.25">
      <c r="A418" s="147"/>
      <c r="C418" s="15"/>
      <c r="D418" s="15"/>
      <c r="E418" s="15"/>
      <c r="F418" s="15"/>
      <c r="G418" s="15"/>
      <c r="H418" s="15"/>
    </row>
    <row r="419" spans="1:8" x14ac:dyDescent="0.25">
      <c r="A419" s="147"/>
      <c r="C419" s="15"/>
      <c r="D419" s="15"/>
      <c r="E419" s="15"/>
      <c r="F419" s="15"/>
      <c r="G419" s="15"/>
      <c r="H419" s="15"/>
    </row>
    <row r="420" spans="1:8" x14ac:dyDescent="0.25">
      <c r="A420" s="147"/>
      <c r="C420" s="15"/>
      <c r="D420" s="15"/>
      <c r="E420" s="15"/>
      <c r="F420" s="15"/>
      <c r="G420" s="15"/>
      <c r="H420" s="15"/>
    </row>
    <row r="421" spans="1:8" x14ac:dyDescent="0.25">
      <c r="A421" s="147"/>
      <c r="C421" s="15"/>
      <c r="D421" s="15"/>
      <c r="E421" s="15"/>
      <c r="F421" s="15"/>
      <c r="G421" s="15"/>
      <c r="H421" s="15"/>
    </row>
    <row r="422" spans="1:8" x14ac:dyDescent="0.25">
      <c r="A422" s="147"/>
      <c r="C422" s="15"/>
      <c r="D422" s="15"/>
      <c r="E422" s="15"/>
      <c r="F422" s="15"/>
      <c r="G422" s="15"/>
      <c r="H422" s="15"/>
    </row>
    <row r="423" spans="1:8" x14ac:dyDescent="0.25">
      <c r="A423" s="147"/>
      <c r="C423" s="15"/>
      <c r="D423" s="15"/>
      <c r="E423" s="15"/>
      <c r="F423" s="15"/>
      <c r="G423" s="15"/>
      <c r="H423" s="15"/>
    </row>
    <row r="424" spans="1:8" x14ac:dyDescent="0.25">
      <c r="A424" s="147"/>
      <c r="C424" s="15"/>
      <c r="D424" s="15"/>
      <c r="E424" s="15"/>
      <c r="F424" s="15"/>
      <c r="G424" s="15"/>
      <c r="H424" s="15"/>
    </row>
    <row r="425" spans="1:8" x14ac:dyDescent="0.25">
      <c r="A425" s="147"/>
      <c r="C425" s="15"/>
      <c r="D425" s="15"/>
      <c r="E425" s="15"/>
      <c r="F425" s="15"/>
      <c r="G425" s="15"/>
      <c r="H425" s="15"/>
    </row>
    <row r="426" spans="1:8" x14ac:dyDescent="0.25">
      <c r="A426" s="147"/>
      <c r="C426" s="15"/>
      <c r="D426" s="15"/>
      <c r="E426" s="15"/>
      <c r="F426" s="15"/>
      <c r="G426" s="15"/>
      <c r="H426" s="15"/>
    </row>
    <row r="427" spans="1:8" x14ac:dyDescent="0.25">
      <c r="A427" s="147"/>
      <c r="C427" s="15"/>
      <c r="D427" s="15"/>
      <c r="E427" s="15"/>
      <c r="F427" s="15"/>
      <c r="G427" s="15"/>
      <c r="H427" s="15"/>
    </row>
    <row r="428" spans="1:8" x14ac:dyDescent="0.25">
      <c r="A428" s="147"/>
      <c r="C428" s="15"/>
      <c r="D428" s="15"/>
      <c r="E428" s="15"/>
      <c r="F428" s="15"/>
      <c r="G428" s="15"/>
      <c r="H428" s="15"/>
    </row>
    <row r="429" spans="1:8" x14ac:dyDescent="0.25">
      <c r="A429" s="147"/>
      <c r="C429" s="15"/>
      <c r="D429" s="15"/>
      <c r="E429" s="15"/>
      <c r="F429" s="15"/>
      <c r="G429" s="15"/>
      <c r="H429" s="15"/>
    </row>
    <row r="430" spans="1:8" x14ac:dyDescent="0.25">
      <c r="A430" s="147"/>
      <c r="C430" s="15"/>
      <c r="D430" s="15"/>
      <c r="E430" s="15"/>
      <c r="F430" s="15"/>
      <c r="G430" s="15"/>
      <c r="H430" s="15"/>
    </row>
    <row r="431" spans="1:8" x14ac:dyDescent="0.25">
      <c r="A431" s="147"/>
      <c r="C431" s="15"/>
      <c r="D431" s="15"/>
      <c r="E431" s="15"/>
      <c r="F431" s="15"/>
      <c r="G431" s="15"/>
      <c r="H431" s="15"/>
    </row>
    <row r="432" spans="1:8" x14ac:dyDescent="0.25">
      <c r="A432" s="147"/>
      <c r="C432" s="15"/>
      <c r="D432" s="15"/>
      <c r="E432" s="15"/>
      <c r="F432" s="15"/>
      <c r="G432" s="15"/>
      <c r="H432" s="15"/>
    </row>
    <row r="433" spans="1:8" x14ac:dyDescent="0.25">
      <c r="A433" s="147"/>
      <c r="C433" s="15"/>
      <c r="D433" s="15"/>
      <c r="E433" s="15"/>
      <c r="F433" s="15"/>
      <c r="G433" s="15"/>
      <c r="H433" s="15"/>
    </row>
    <row r="434" spans="1:8" x14ac:dyDescent="0.25">
      <c r="A434" s="147"/>
      <c r="C434" s="15"/>
      <c r="D434" s="15"/>
      <c r="E434" s="15"/>
      <c r="F434" s="15"/>
      <c r="G434" s="15"/>
      <c r="H434" s="15"/>
    </row>
    <row r="435" spans="1:8" x14ac:dyDescent="0.25">
      <c r="A435" s="147"/>
      <c r="C435" s="15"/>
      <c r="D435" s="15"/>
      <c r="E435" s="15"/>
      <c r="F435" s="15"/>
      <c r="G435" s="15"/>
      <c r="H435" s="15"/>
    </row>
    <row r="436" spans="1:8" x14ac:dyDescent="0.25">
      <c r="A436" s="147"/>
      <c r="C436" s="15"/>
      <c r="D436" s="15"/>
      <c r="E436" s="15"/>
      <c r="F436" s="15"/>
      <c r="G436" s="15"/>
      <c r="H436" s="15"/>
    </row>
    <row r="437" spans="1:8" x14ac:dyDescent="0.25">
      <c r="A437" s="147"/>
      <c r="C437" s="15"/>
      <c r="D437" s="15"/>
      <c r="E437" s="15"/>
      <c r="F437" s="15"/>
      <c r="G437" s="15"/>
      <c r="H437" s="15"/>
    </row>
    <row r="438" spans="1:8" x14ac:dyDescent="0.25">
      <c r="A438" s="147"/>
      <c r="C438" s="15"/>
      <c r="D438" s="15"/>
      <c r="E438" s="15"/>
      <c r="F438" s="15"/>
      <c r="G438" s="15"/>
      <c r="H438" s="15"/>
    </row>
    <row r="439" spans="1:8" x14ac:dyDescent="0.25">
      <c r="A439" s="147"/>
      <c r="C439" s="15"/>
      <c r="D439" s="15"/>
      <c r="E439" s="15"/>
      <c r="F439" s="15"/>
      <c r="G439" s="15"/>
      <c r="H439" s="15"/>
    </row>
    <row r="440" spans="1:8" x14ac:dyDescent="0.25">
      <c r="A440" s="147"/>
      <c r="C440" s="15"/>
      <c r="D440" s="15"/>
      <c r="E440" s="15"/>
      <c r="F440" s="15"/>
      <c r="G440" s="15"/>
      <c r="H440" s="15"/>
    </row>
    <row r="441" spans="1:8" x14ac:dyDescent="0.25">
      <c r="A441" s="147"/>
      <c r="C441" s="15"/>
      <c r="D441" s="15"/>
      <c r="E441" s="15"/>
      <c r="F441" s="15"/>
      <c r="G441" s="15"/>
      <c r="H441" s="15"/>
    </row>
    <row r="442" spans="1:8" x14ac:dyDescent="0.25">
      <c r="A442" s="147"/>
      <c r="C442" s="15"/>
      <c r="D442" s="15"/>
      <c r="E442" s="15"/>
      <c r="F442" s="15"/>
      <c r="G442" s="15"/>
      <c r="H442" s="15"/>
    </row>
    <row r="443" spans="1:8" x14ac:dyDescent="0.25">
      <c r="A443" s="147"/>
      <c r="C443" s="15"/>
      <c r="D443" s="15"/>
      <c r="E443" s="15"/>
      <c r="F443" s="15"/>
      <c r="G443" s="15"/>
      <c r="H443" s="15"/>
    </row>
    <row r="444" spans="1:8" x14ac:dyDescent="0.25">
      <c r="A444" s="147"/>
      <c r="C444" s="15"/>
      <c r="D444" s="15"/>
      <c r="E444" s="15"/>
      <c r="F444" s="15"/>
      <c r="G444" s="15"/>
      <c r="H444" s="15"/>
    </row>
    <row r="445" spans="1:8" x14ac:dyDescent="0.25">
      <c r="A445" s="147"/>
      <c r="C445" s="15"/>
      <c r="D445" s="15"/>
      <c r="E445" s="15"/>
      <c r="F445" s="15"/>
      <c r="G445" s="15"/>
      <c r="H445" s="15"/>
    </row>
    <row r="446" spans="1:8" x14ac:dyDescent="0.25">
      <c r="A446" s="147"/>
      <c r="C446" s="15"/>
      <c r="D446" s="15"/>
      <c r="E446" s="15"/>
      <c r="F446" s="15"/>
      <c r="G446" s="15"/>
      <c r="H446" s="15"/>
    </row>
    <row r="447" spans="1:8" x14ac:dyDescent="0.25">
      <c r="A447" s="147"/>
      <c r="C447" s="15"/>
      <c r="D447" s="15"/>
      <c r="E447" s="15"/>
      <c r="F447" s="15"/>
      <c r="G447" s="15"/>
      <c r="H447" s="15"/>
    </row>
    <row r="448" spans="1:8" x14ac:dyDescent="0.25">
      <c r="A448" s="147"/>
      <c r="C448" s="15"/>
      <c r="D448" s="15"/>
      <c r="E448" s="15"/>
      <c r="F448" s="15"/>
      <c r="G448" s="15"/>
      <c r="H448" s="15"/>
    </row>
    <row r="449" spans="1:8" x14ac:dyDescent="0.25">
      <c r="A449" s="147"/>
      <c r="C449" s="15"/>
      <c r="D449" s="15"/>
      <c r="E449" s="15"/>
      <c r="F449" s="15"/>
      <c r="G449" s="15"/>
      <c r="H449" s="15"/>
    </row>
    <row r="450" spans="1:8" x14ac:dyDescent="0.25">
      <c r="A450" s="147"/>
      <c r="C450" s="15"/>
      <c r="D450" s="15"/>
      <c r="E450" s="15"/>
      <c r="F450" s="15"/>
      <c r="G450" s="15"/>
      <c r="H450" s="15"/>
    </row>
    <row r="451" spans="1:8" x14ac:dyDescent="0.25">
      <c r="A451" s="147"/>
      <c r="C451" s="15"/>
      <c r="D451" s="15"/>
      <c r="E451" s="15"/>
      <c r="F451" s="15"/>
      <c r="G451" s="15"/>
      <c r="H451" s="15"/>
    </row>
    <row r="452" spans="1:8" x14ac:dyDescent="0.25">
      <c r="A452" s="147"/>
      <c r="C452" s="15"/>
      <c r="D452" s="15"/>
      <c r="E452" s="15"/>
      <c r="F452" s="15"/>
      <c r="G452" s="15"/>
      <c r="H452" s="15"/>
    </row>
    <row r="453" spans="1:8" x14ac:dyDescent="0.25">
      <c r="A453" s="147"/>
      <c r="C453" s="15"/>
      <c r="D453" s="15"/>
      <c r="E453" s="15"/>
      <c r="F453" s="15"/>
      <c r="G453" s="15"/>
      <c r="H453" s="15"/>
    </row>
    <row r="454" spans="1:8" x14ac:dyDescent="0.25">
      <c r="A454" s="147"/>
      <c r="C454" s="15"/>
      <c r="D454" s="15"/>
      <c r="E454" s="15"/>
      <c r="F454" s="15"/>
      <c r="G454" s="15"/>
      <c r="H454" s="15"/>
    </row>
    <row r="455" spans="1:8" x14ac:dyDescent="0.25">
      <c r="A455" s="147"/>
      <c r="C455" s="15"/>
      <c r="D455" s="15"/>
      <c r="E455" s="15"/>
      <c r="F455" s="15"/>
      <c r="G455" s="15"/>
      <c r="H455" s="15"/>
    </row>
    <row r="456" spans="1:8" x14ac:dyDescent="0.25">
      <c r="A456" s="147"/>
      <c r="C456" s="15"/>
      <c r="D456" s="15"/>
      <c r="E456" s="15"/>
      <c r="F456" s="15"/>
      <c r="G456" s="15"/>
      <c r="H456" s="15"/>
    </row>
    <row r="457" spans="1:8" x14ac:dyDescent="0.25">
      <c r="A457" s="147"/>
      <c r="C457" s="15"/>
      <c r="D457" s="15"/>
      <c r="E457" s="15"/>
      <c r="F457" s="15"/>
      <c r="G457" s="15"/>
      <c r="H457" s="15"/>
    </row>
    <row r="458" spans="1:8" x14ac:dyDescent="0.25">
      <c r="A458" s="147"/>
      <c r="C458" s="15"/>
      <c r="D458" s="15"/>
      <c r="E458" s="15"/>
      <c r="F458" s="15"/>
      <c r="G458" s="15"/>
      <c r="H458" s="15"/>
    </row>
    <row r="459" spans="1:8" x14ac:dyDescent="0.25">
      <c r="A459" s="147"/>
      <c r="C459" s="15"/>
      <c r="D459" s="15"/>
      <c r="E459" s="15"/>
      <c r="F459" s="15"/>
      <c r="G459" s="15"/>
      <c r="H459" s="15"/>
    </row>
    <row r="460" spans="1:8" x14ac:dyDescent="0.25">
      <c r="A460" s="147"/>
      <c r="C460" s="15"/>
      <c r="D460" s="15"/>
      <c r="E460" s="15"/>
      <c r="F460" s="15"/>
      <c r="G460" s="15"/>
      <c r="H460" s="15"/>
    </row>
    <row r="461" spans="1:8" x14ac:dyDescent="0.25">
      <c r="A461" s="147"/>
      <c r="C461" s="15"/>
      <c r="D461" s="15"/>
      <c r="E461" s="15"/>
      <c r="F461" s="15"/>
      <c r="G461" s="15"/>
      <c r="H461" s="15"/>
    </row>
    <row r="462" spans="1:8" x14ac:dyDescent="0.25">
      <c r="A462" s="147"/>
      <c r="C462" s="15"/>
      <c r="D462" s="15"/>
      <c r="E462" s="15"/>
      <c r="F462" s="15"/>
      <c r="G462" s="15"/>
      <c r="H462" s="15"/>
    </row>
    <row r="463" spans="1:8" x14ac:dyDescent="0.25">
      <c r="A463" s="147"/>
      <c r="C463" s="15"/>
      <c r="D463" s="15"/>
      <c r="E463" s="15"/>
      <c r="F463" s="15"/>
      <c r="G463" s="15"/>
      <c r="H463" s="15"/>
    </row>
    <row r="464" spans="1:8" x14ac:dyDescent="0.25">
      <c r="A464" s="147"/>
      <c r="C464" s="15"/>
      <c r="D464" s="15"/>
      <c r="E464" s="15"/>
      <c r="F464" s="15"/>
      <c r="G464" s="15"/>
      <c r="H464" s="15"/>
    </row>
    <row r="465" spans="1:8" x14ac:dyDescent="0.25">
      <c r="A465" s="147"/>
      <c r="C465" s="15"/>
      <c r="D465" s="15"/>
      <c r="E465" s="15"/>
      <c r="F465" s="15"/>
      <c r="G465" s="15"/>
      <c r="H465" s="15"/>
    </row>
    <row r="466" spans="1:8" x14ac:dyDescent="0.25">
      <c r="A466" s="147"/>
      <c r="C466" s="15"/>
      <c r="D466" s="15"/>
      <c r="E466" s="15"/>
      <c r="F466" s="15"/>
      <c r="G466" s="15"/>
      <c r="H466" s="15"/>
    </row>
    <row r="467" spans="1:8" x14ac:dyDescent="0.25">
      <c r="A467" s="147"/>
      <c r="C467" s="15"/>
      <c r="D467" s="15"/>
      <c r="E467" s="15"/>
      <c r="F467" s="15"/>
      <c r="G467" s="15"/>
      <c r="H467" s="15"/>
    </row>
    <row r="468" spans="1:8" x14ac:dyDescent="0.25">
      <c r="A468" s="147"/>
      <c r="C468" s="15"/>
      <c r="D468" s="15"/>
      <c r="E468" s="15"/>
      <c r="F468" s="15"/>
      <c r="G468" s="15"/>
      <c r="H468" s="15"/>
    </row>
    <row r="469" spans="1:8" x14ac:dyDescent="0.25">
      <c r="A469" s="147"/>
      <c r="C469" s="15"/>
      <c r="D469" s="15"/>
      <c r="E469" s="15"/>
      <c r="F469" s="15"/>
      <c r="G469" s="15"/>
      <c r="H469" s="15"/>
    </row>
    <row r="470" spans="1:8" x14ac:dyDescent="0.25">
      <c r="A470" s="147"/>
      <c r="C470" s="15"/>
      <c r="D470" s="15"/>
      <c r="E470" s="15"/>
      <c r="F470" s="15"/>
      <c r="G470" s="15"/>
      <c r="H470" s="15"/>
    </row>
    <row r="471" spans="1:8" x14ac:dyDescent="0.25">
      <c r="A471" s="147"/>
      <c r="C471" s="15"/>
      <c r="D471" s="15"/>
      <c r="E471" s="15"/>
      <c r="F471" s="15"/>
      <c r="G471" s="15"/>
      <c r="H471" s="15"/>
    </row>
    <row r="472" spans="1:8" x14ac:dyDescent="0.25">
      <c r="A472" s="147"/>
      <c r="C472" s="15"/>
      <c r="D472" s="15"/>
      <c r="E472" s="15"/>
      <c r="F472" s="15"/>
      <c r="G472" s="15"/>
      <c r="H472" s="15"/>
    </row>
    <row r="473" spans="1:8" x14ac:dyDescent="0.25">
      <c r="A473" s="147"/>
      <c r="C473" s="15"/>
      <c r="D473" s="15"/>
      <c r="E473" s="15"/>
      <c r="F473" s="15"/>
      <c r="G473" s="15"/>
      <c r="H473" s="15"/>
    </row>
    <row r="474" spans="1:8" x14ac:dyDescent="0.25">
      <c r="A474" s="147"/>
      <c r="C474" s="15"/>
      <c r="D474" s="15"/>
      <c r="E474" s="15"/>
      <c r="F474" s="15"/>
      <c r="G474" s="15"/>
      <c r="H474" s="15"/>
    </row>
    <row r="475" spans="1:8" x14ac:dyDescent="0.25">
      <c r="A475" s="147"/>
      <c r="C475" s="15"/>
      <c r="D475" s="15"/>
      <c r="E475" s="15"/>
      <c r="F475" s="15"/>
      <c r="G475" s="15"/>
      <c r="H475" s="15"/>
    </row>
    <row r="476" spans="1:8" x14ac:dyDescent="0.25">
      <c r="A476" s="147"/>
      <c r="C476" s="15"/>
      <c r="D476" s="15"/>
      <c r="E476" s="15"/>
      <c r="F476" s="15"/>
      <c r="G476" s="15"/>
      <c r="H476" s="15"/>
    </row>
    <row r="477" spans="1:8" x14ac:dyDescent="0.25">
      <c r="A477" s="147"/>
      <c r="C477" s="15"/>
      <c r="D477" s="15"/>
      <c r="E477" s="15"/>
      <c r="F477" s="15"/>
      <c r="G477" s="15"/>
      <c r="H477" s="15"/>
    </row>
    <row r="478" spans="1:8" x14ac:dyDescent="0.25">
      <c r="A478" s="147"/>
      <c r="C478" s="15"/>
      <c r="D478" s="15"/>
      <c r="E478" s="15"/>
      <c r="F478" s="15"/>
      <c r="G478" s="15"/>
      <c r="H478" s="15"/>
    </row>
    <row r="479" spans="1:8" x14ac:dyDescent="0.25">
      <c r="A479" s="147"/>
      <c r="C479" s="15"/>
      <c r="D479" s="15"/>
      <c r="E479" s="15"/>
      <c r="F479" s="15"/>
      <c r="G479" s="15"/>
      <c r="H479" s="15"/>
    </row>
    <row r="480" spans="1:8" x14ac:dyDescent="0.25">
      <c r="A480" s="147"/>
      <c r="C480" s="15"/>
      <c r="D480" s="15"/>
      <c r="E480" s="15"/>
      <c r="F480" s="15"/>
      <c r="G480" s="15"/>
      <c r="H480" s="15"/>
    </row>
    <row r="481" spans="1:8" x14ac:dyDescent="0.25">
      <c r="A481" s="147"/>
      <c r="C481" s="15"/>
      <c r="D481" s="15"/>
      <c r="E481" s="15"/>
      <c r="F481" s="15"/>
      <c r="G481" s="15"/>
      <c r="H481" s="15"/>
    </row>
    <row r="482" spans="1:8" x14ac:dyDescent="0.25">
      <c r="A482" s="147"/>
      <c r="C482" s="15"/>
      <c r="D482" s="15"/>
      <c r="E482" s="15"/>
      <c r="F482" s="15"/>
      <c r="G482" s="15"/>
      <c r="H482" s="15"/>
    </row>
    <row r="483" spans="1:8" x14ac:dyDescent="0.25">
      <c r="A483" s="147"/>
      <c r="C483" s="15"/>
      <c r="D483" s="15"/>
      <c r="E483" s="15"/>
      <c r="F483" s="15"/>
      <c r="G483" s="15"/>
      <c r="H483" s="15"/>
    </row>
    <row r="484" spans="1:8" x14ac:dyDescent="0.25">
      <c r="A484" s="147"/>
      <c r="C484" s="15"/>
      <c r="D484" s="15"/>
      <c r="E484" s="15"/>
      <c r="F484" s="15"/>
      <c r="G484" s="15"/>
      <c r="H484" s="15"/>
    </row>
    <row r="485" spans="1:8" x14ac:dyDescent="0.25">
      <c r="A485" s="147"/>
      <c r="C485" s="15"/>
      <c r="D485" s="15"/>
      <c r="E485" s="15"/>
      <c r="F485" s="15"/>
      <c r="G485" s="15"/>
      <c r="H485" s="15"/>
    </row>
    <row r="486" spans="1:8" x14ac:dyDescent="0.25">
      <c r="A486" s="147"/>
      <c r="C486" s="15"/>
      <c r="D486" s="15"/>
      <c r="E486" s="15"/>
      <c r="F486" s="15"/>
      <c r="G486" s="15"/>
      <c r="H486" s="15"/>
    </row>
    <row r="487" spans="1:8" x14ac:dyDescent="0.25">
      <c r="A487" s="147"/>
      <c r="C487" s="15"/>
      <c r="D487" s="15"/>
      <c r="E487" s="15"/>
      <c r="F487" s="15"/>
      <c r="G487" s="15"/>
      <c r="H487" s="15"/>
    </row>
    <row r="488" spans="1:8" x14ac:dyDescent="0.25">
      <c r="A488" s="147"/>
      <c r="C488" s="15"/>
      <c r="D488" s="15"/>
      <c r="E488" s="15"/>
      <c r="F488" s="15"/>
      <c r="G488" s="15"/>
      <c r="H488" s="15"/>
    </row>
    <row r="489" spans="1:8" x14ac:dyDescent="0.25">
      <c r="A489" s="147"/>
      <c r="C489" s="15"/>
      <c r="D489" s="15"/>
      <c r="E489" s="15"/>
      <c r="F489" s="15"/>
      <c r="G489" s="15"/>
      <c r="H489" s="15"/>
    </row>
    <row r="490" spans="1:8" x14ac:dyDescent="0.25">
      <c r="A490" s="147"/>
      <c r="C490" s="15"/>
      <c r="D490" s="15"/>
      <c r="E490" s="15"/>
      <c r="F490" s="15"/>
      <c r="G490" s="15"/>
      <c r="H490" s="15"/>
    </row>
    <row r="491" spans="1:8" x14ac:dyDescent="0.25">
      <c r="A491" s="147"/>
      <c r="C491" s="15"/>
      <c r="D491" s="15"/>
      <c r="E491" s="15"/>
      <c r="F491" s="15"/>
      <c r="G491" s="15"/>
      <c r="H491" s="15"/>
    </row>
    <row r="492" spans="1:8" x14ac:dyDescent="0.25">
      <c r="A492" s="147"/>
      <c r="C492" s="15"/>
      <c r="D492" s="15"/>
      <c r="E492" s="15"/>
      <c r="F492" s="15"/>
      <c r="G492" s="15"/>
      <c r="H492" s="15"/>
    </row>
    <row r="493" spans="1:8" x14ac:dyDescent="0.25">
      <c r="A493" s="147"/>
      <c r="C493" s="15"/>
      <c r="D493" s="15"/>
      <c r="E493" s="15"/>
      <c r="F493" s="15"/>
      <c r="G493" s="15"/>
      <c r="H493" s="15"/>
    </row>
    <row r="494" spans="1:8" x14ac:dyDescent="0.25">
      <c r="A494" s="147"/>
      <c r="C494" s="15"/>
      <c r="D494" s="15"/>
      <c r="E494" s="15"/>
      <c r="F494" s="15"/>
      <c r="G494" s="15"/>
      <c r="H494" s="15"/>
    </row>
    <row r="495" spans="1:8" x14ac:dyDescent="0.25">
      <c r="A495" s="147"/>
      <c r="C495" s="15"/>
      <c r="D495" s="15"/>
      <c r="E495" s="15"/>
      <c r="F495" s="15"/>
      <c r="G495" s="15"/>
      <c r="H495" s="15"/>
    </row>
    <row r="496" spans="1:8" x14ac:dyDescent="0.25">
      <c r="A496" s="147"/>
      <c r="C496" s="15"/>
      <c r="D496" s="15"/>
      <c r="E496" s="15"/>
      <c r="F496" s="15"/>
      <c r="G496" s="15"/>
      <c r="H496" s="15"/>
    </row>
    <row r="497" spans="1:8" x14ac:dyDescent="0.25">
      <c r="A497" s="147"/>
      <c r="C497" s="15"/>
      <c r="D497" s="15"/>
      <c r="E497" s="15"/>
      <c r="F497" s="15"/>
      <c r="G497" s="15"/>
      <c r="H497" s="15"/>
    </row>
    <row r="498" spans="1:8" x14ac:dyDescent="0.25">
      <c r="A498" s="147"/>
      <c r="C498" s="15"/>
      <c r="D498" s="15"/>
      <c r="E498" s="15"/>
      <c r="F498" s="15"/>
      <c r="G498" s="15"/>
      <c r="H498" s="15"/>
    </row>
    <row r="499" spans="1:8" x14ac:dyDescent="0.25">
      <c r="A499" s="147"/>
      <c r="C499" s="15"/>
      <c r="D499" s="15"/>
      <c r="E499" s="15"/>
      <c r="F499" s="15"/>
      <c r="G499" s="15"/>
      <c r="H499" s="15"/>
    </row>
    <row r="500" spans="1:8" x14ac:dyDescent="0.25">
      <c r="A500" s="147"/>
      <c r="C500" s="15"/>
      <c r="D500" s="15"/>
      <c r="E500" s="15"/>
      <c r="F500" s="15"/>
      <c r="G500" s="15"/>
      <c r="H500" s="15"/>
    </row>
  </sheetData>
  <mergeCells count="8">
    <mergeCell ref="AJ38:AK38"/>
    <mergeCell ref="AJ39:AK39"/>
    <mergeCell ref="AN10:AP10"/>
    <mergeCell ref="AN12:AP12"/>
    <mergeCell ref="AN14:AP14"/>
    <mergeCell ref="AN16:AP16"/>
    <mergeCell ref="AJ36:AK36"/>
    <mergeCell ref="AJ37:AK37"/>
  </mergeCells>
  <conditionalFormatting sqref="H2">
    <cfRule type="cellIs" dxfId="395" priority="5591" operator="greaterThan">
      <formula>0</formula>
    </cfRule>
    <cfRule type="cellIs" dxfId="394" priority="5592" operator="greaterThan">
      <formula>1</formula>
    </cfRule>
  </conditionalFormatting>
  <conditionalFormatting sqref="T24:T26">
    <cfRule type="duplicateValues" dxfId="393" priority="5588"/>
  </conditionalFormatting>
  <conditionalFormatting sqref="T8">
    <cfRule type="duplicateValues" dxfId="392" priority="5587"/>
  </conditionalFormatting>
  <conditionalFormatting sqref="T8:U352">
    <cfRule type="expression" dxfId="391" priority="5593">
      <formula>($S8="√")</formula>
    </cfRule>
  </conditionalFormatting>
  <conditionalFormatting sqref="B345:B411">
    <cfRule type="expression" dxfId="390" priority="5601">
      <formula>$BA365:$BA757&lt;&gt;""</formula>
    </cfRule>
  </conditionalFormatting>
  <conditionalFormatting sqref="D112:D411">
    <cfRule type="containsText" dxfId="389" priority="5107" operator="containsText" text="Non banking">
      <formula>NOT(ISERROR(SEARCH("Non banking",D112)))</formula>
    </cfRule>
  </conditionalFormatting>
  <conditionalFormatting sqref="H90 H92:H344">
    <cfRule type="containsText" dxfId="388" priority="3389" operator="containsText" text="To Do List">
      <formula>NOT(ISERROR(SEARCH("To Do List",H90)))</formula>
    </cfRule>
    <cfRule type="containsText" dxfId="387" priority="3390" operator="containsText" text="Fraud">
      <formula>NOT(ISERROR(SEARCH("Fraud",H90)))</formula>
    </cfRule>
    <cfRule type="containsText" dxfId="386" priority="3391" operator="containsText" text="Completed">
      <formula>NOT(ISERROR(SEARCH("Completed",H90)))</formula>
    </cfRule>
  </conditionalFormatting>
  <conditionalFormatting sqref="AL39">
    <cfRule type="expression" dxfId="385" priority="5615">
      <formula>$C$21&gt;0</formula>
    </cfRule>
    <cfRule type="expression" dxfId="384" priority="5616">
      <formula>$C$21&lt;0</formula>
    </cfRule>
  </conditionalFormatting>
  <conditionalFormatting sqref="AL37">
    <cfRule type="expression" dxfId="383" priority="5617">
      <formula>$C$19&lt;$C$20</formula>
    </cfRule>
    <cfRule type="expression" dxfId="382" priority="5618">
      <formula>$C$19&gt;$C$20</formula>
    </cfRule>
  </conditionalFormatting>
  <conditionalFormatting sqref="B112:B344">
    <cfRule type="expression" dxfId="381" priority="5624">
      <formula>$BA132:$BA491&lt;&gt;""</formula>
    </cfRule>
  </conditionalFormatting>
  <conditionalFormatting sqref="A93:A111">
    <cfRule type="duplicateValues" dxfId="380" priority="1856"/>
  </conditionalFormatting>
  <conditionalFormatting sqref="T9:T23 T28:T352">
    <cfRule type="duplicateValues" dxfId="379" priority="5637"/>
  </conditionalFormatting>
  <conditionalFormatting sqref="V8:V352">
    <cfRule type="iconSet" priority="5640">
      <iconSet>
        <cfvo type="percent" val="0"/>
        <cfvo type="num" val="TODAY()+2"/>
        <cfvo type="num" val="TODAY()"/>
      </iconSet>
    </cfRule>
  </conditionalFormatting>
  <conditionalFormatting sqref="Q12:Q352">
    <cfRule type="iconSet" priority="5642">
      <iconSet>
        <cfvo type="percent" val="0"/>
        <cfvo type="formula" val="TODAY() +2"/>
        <cfvo type="formula" val="TODAY() +1"/>
      </iconSet>
    </cfRule>
  </conditionalFormatting>
  <conditionalFormatting sqref="K93:O352 M86:O92 K21:O85 Q12:Q352 M12:O20">
    <cfRule type="expression" dxfId="378" priority="1419">
      <formula>($K12="√")</formula>
    </cfRule>
    <cfRule type="expression" dxfId="377" priority="1481">
      <formula>($J$8="√")</formula>
    </cfRule>
  </conditionalFormatting>
  <conditionalFormatting sqref="K86">
    <cfRule type="duplicateValues" dxfId="376" priority="1400"/>
  </conditionalFormatting>
  <conditionalFormatting sqref="H88">
    <cfRule type="containsText" dxfId="375" priority="1373" operator="containsText" text="To Do List">
      <formula>NOT(ISERROR(SEARCH("To Do List",H88)))</formula>
    </cfRule>
    <cfRule type="containsText" dxfId="374" priority="1374" operator="containsText" text="Fraud">
      <formula>NOT(ISERROR(SEARCH("Fraud",H88)))</formula>
    </cfRule>
    <cfRule type="containsText" dxfId="373" priority="1375" operator="containsText" text="Completed">
      <formula>NOT(ISERROR(SEARCH("Completed",H88)))</formula>
    </cfRule>
  </conditionalFormatting>
  <conditionalFormatting sqref="H88">
    <cfRule type="containsText" dxfId="372" priority="1370" operator="containsText" text="To Do List">
      <formula>NOT(ISERROR(SEARCH("To Do List",H88)))</formula>
    </cfRule>
    <cfRule type="containsText" dxfId="371" priority="1371" operator="containsText" text="Fraud">
      <formula>NOT(ISERROR(SEARCH("Fraud",H88)))</formula>
    </cfRule>
    <cfRule type="containsText" dxfId="370" priority="1372" operator="containsText" text="Completed">
      <formula>NOT(ISERROR(SEARCH("Completed",H88)))</formula>
    </cfRule>
  </conditionalFormatting>
  <conditionalFormatting sqref="H89">
    <cfRule type="containsText" dxfId="369" priority="1367" operator="containsText" text="To Do List">
      <formula>NOT(ISERROR(SEARCH("To Do List",H89)))</formula>
    </cfRule>
    <cfRule type="containsText" dxfId="368" priority="1368" operator="containsText" text="Fraud">
      <formula>NOT(ISERROR(SEARCH("Fraud",H89)))</formula>
    </cfRule>
    <cfRule type="containsText" dxfId="367" priority="1369" operator="containsText" text="Completed">
      <formula>NOT(ISERROR(SEARCH("Completed",H89)))</formula>
    </cfRule>
  </conditionalFormatting>
  <conditionalFormatting sqref="H89">
    <cfRule type="containsText" dxfId="366" priority="1364" operator="containsText" text="To Do List">
      <formula>NOT(ISERROR(SEARCH("To Do List",H89)))</formula>
    </cfRule>
    <cfRule type="containsText" dxfId="365" priority="1365" operator="containsText" text="Fraud">
      <formula>NOT(ISERROR(SEARCH("Fraud",H89)))</formula>
    </cfRule>
    <cfRule type="containsText" dxfId="364" priority="1366" operator="containsText" text="Completed">
      <formula>NOT(ISERROR(SEARCH("Completed",H89)))</formula>
    </cfRule>
  </conditionalFormatting>
  <conditionalFormatting sqref="K87">
    <cfRule type="duplicateValues" dxfId="363" priority="1346"/>
    <cfRule type="duplicateValues" dxfId="362" priority="1347"/>
    <cfRule type="duplicateValues" dxfId="361" priority="1348"/>
    <cfRule type="duplicateValues" dxfId="360" priority="1349"/>
    <cfRule type="duplicateValues" dxfId="359" priority="1350"/>
    <cfRule type="duplicateValues" dxfId="358" priority="1351"/>
  </conditionalFormatting>
  <conditionalFormatting sqref="H91">
    <cfRule type="containsText" dxfId="357" priority="1313" operator="containsText" text="To Do List">
      <formula>NOT(ISERROR(SEARCH("To Do List",H91)))</formula>
    </cfRule>
    <cfRule type="containsText" dxfId="356" priority="1314" operator="containsText" text="Fraud">
      <formula>NOT(ISERROR(SEARCH("Fraud",H91)))</formula>
    </cfRule>
    <cfRule type="containsText" dxfId="355" priority="1315" operator="containsText" text="Completed">
      <formula>NOT(ISERROR(SEARCH("Completed",H91)))</formula>
    </cfRule>
  </conditionalFormatting>
  <conditionalFormatting sqref="K88">
    <cfRule type="duplicateValues" dxfId="354" priority="1169"/>
  </conditionalFormatting>
  <conditionalFormatting sqref="K89">
    <cfRule type="duplicateValues" dxfId="353" priority="1130"/>
    <cfRule type="duplicateValues" dxfId="352" priority="1131"/>
    <cfRule type="duplicateValues" dxfId="351" priority="1132"/>
  </conditionalFormatting>
  <conditionalFormatting sqref="K90">
    <cfRule type="duplicateValues" dxfId="350" priority="1121"/>
    <cfRule type="duplicateValues" dxfId="349" priority="1122"/>
    <cfRule type="duplicateValues" dxfId="348" priority="1123"/>
  </conditionalFormatting>
  <conditionalFormatting sqref="K91">
    <cfRule type="duplicateValues" dxfId="347" priority="1112"/>
    <cfRule type="duplicateValues" dxfId="346" priority="1113"/>
    <cfRule type="duplicateValues" dxfId="345" priority="1114"/>
  </conditionalFormatting>
  <conditionalFormatting sqref="K92">
    <cfRule type="duplicateValues" dxfId="344" priority="1085"/>
    <cfRule type="duplicateValues" dxfId="343" priority="1086"/>
    <cfRule type="duplicateValues" dxfId="342" priority="1087"/>
  </conditionalFormatting>
  <conditionalFormatting sqref="A8">
    <cfRule type="duplicateValues" dxfId="341" priority="1050"/>
    <cfRule type="duplicateValues" dxfId="340" priority="1051"/>
    <cfRule type="duplicateValues" dxfId="339" priority="1052"/>
    <cfRule type="duplicateValues" dxfId="338" priority="1053"/>
    <cfRule type="duplicateValues" dxfId="337" priority="1054"/>
  </conditionalFormatting>
  <conditionalFormatting sqref="H8">
    <cfRule type="containsText" dxfId="336" priority="1047" operator="containsText" text="To Do List">
      <formula>NOT(ISERROR(SEARCH("To Do List",H8)))</formula>
    </cfRule>
    <cfRule type="containsText" dxfId="335" priority="1048" operator="containsText" text="Fraud">
      <formula>NOT(ISERROR(SEARCH("Fraud",H8)))</formula>
    </cfRule>
    <cfRule type="containsText" dxfId="334" priority="1049" operator="containsText" text="Completed">
      <formula>NOT(ISERROR(SEARCH("Completed",H8)))</formula>
    </cfRule>
  </conditionalFormatting>
  <conditionalFormatting sqref="F8:G8">
    <cfRule type="containsText" dxfId="333" priority="1046" operator="containsText" text="NON BANKING">
      <formula>NOT(ISERROR(SEARCH("NON BANKING",F8)))</formula>
    </cfRule>
  </conditionalFormatting>
  <conditionalFormatting sqref="A67">
    <cfRule type="duplicateValues" dxfId="332" priority="881"/>
    <cfRule type="duplicateValues" dxfId="331" priority="882"/>
  </conditionalFormatting>
  <conditionalFormatting sqref="M8:O10 Q8:Q10 P8:P352">
    <cfRule type="expression" dxfId="330" priority="795">
      <formula>($J8="√")</formula>
    </cfRule>
  </conditionalFormatting>
  <conditionalFormatting sqref="Q8:Q10">
    <cfRule type="iconSet" priority="796">
      <iconSet>
        <cfvo type="percent" val="0"/>
        <cfvo type="formula" val="TODAY()+2"/>
        <cfvo type="formula" val="TODAY()"/>
      </iconSet>
    </cfRule>
  </conditionalFormatting>
  <conditionalFormatting sqref="M11:O11 Q11">
    <cfRule type="expression" dxfId="329" priority="785">
      <formula>($J11="√")</formula>
    </cfRule>
  </conditionalFormatting>
  <conditionalFormatting sqref="Q11">
    <cfRule type="iconSet" priority="786">
      <iconSet>
        <cfvo type="percent" val="0"/>
        <cfvo type="formula" val="TODAY()+2"/>
        <cfvo type="formula" val="TODAY()"/>
      </iconSet>
    </cfRule>
  </conditionalFormatting>
  <conditionalFormatting sqref="A9">
    <cfRule type="duplicateValues" dxfId="328" priority="781"/>
    <cfRule type="duplicateValues" dxfId="327" priority="782"/>
  </conditionalFormatting>
  <conditionalFormatting sqref="H27">
    <cfRule type="containsText" dxfId="326" priority="499" operator="containsText" text="To Do List">
      <formula>NOT(ISERROR(SEARCH("To Do List",H27)))</formula>
    </cfRule>
    <cfRule type="containsText" dxfId="325" priority="500" operator="containsText" text="Fraud">
      <formula>NOT(ISERROR(SEARCH("Fraud",H27)))</formula>
    </cfRule>
    <cfRule type="containsText" dxfId="324" priority="501" operator="containsText" text="Completed">
      <formula>NOT(ISERROR(SEARCH("Completed",H27)))</formula>
    </cfRule>
  </conditionalFormatting>
  <conditionalFormatting sqref="F27:G27">
    <cfRule type="containsText" dxfId="323" priority="498" operator="containsText" text="NON BANKING">
      <formula>NOT(ISERROR(SEARCH("NON BANKING",F27)))</formula>
    </cfRule>
  </conditionalFormatting>
  <conditionalFormatting sqref="H28">
    <cfRule type="containsText" dxfId="322" priority="495" operator="containsText" text="To Do List">
      <formula>NOT(ISERROR(SEARCH("To Do List",H28)))</formula>
    </cfRule>
    <cfRule type="containsText" dxfId="321" priority="496" operator="containsText" text="Fraud">
      <formula>NOT(ISERROR(SEARCH("Fraud",H28)))</formula>
    </cfRule>
    <cfRule type="containsText" dxfId="320" priority="497" operator="containsText" text="Completed">
      <formula>NOT(ISERROR(SEARCH("Completed",H28)))</formula>
    </cfRule>
  </conditionalFormatting>
  <conditionalFormatting sqref="F28:G28">
    <cfRule type="containsText" dxfId="319" priority="494" operator="containsText" text="NON BANKING">
      <formula>NOT(ISERROR(SEARCH("NON BANKING",F28)))</formula>
    </cfRule>
  </conditionalFormatting>
  <conditionalFormatting sqref="A53:A56">
    <cfRule type="duplicateValues" dxfId="318" priority="429"/>
  </conditionalFormatting>
  <conditionalFormatting sqref="A57:A66">
    <cfRule type="duplicateValues" dxfId="317" priority="428"/>
  </conditionalFormatting>
  <conditionalFormatting sqref="F63:G63">
    <cfRule type="containsText" dxfId="316" priority="396" operator="containsText" text="NON BANKING">
      <formula>NOT(ISERROR(SEARCH("NON BANKING",F63)))</formula>
    </cfRule>
  </conditionalFormatting>
  <conditionalFormatting sqref="H77">
    <cfRule type="containsText" dxfId="315" priority="317" operator="containsText" text="To Do List">
      <formula>NOT(ISERROR(SEARCH("To Do List",H77)))</formula>
    </cfRule>
    <cfRule type="containsText" dxfId="314" priority="318" operator="containsText" text="Fraud">
      <formula>NOT(ISERROR(SEARCH("Fraud",H77)))</formula>
    </cfRule>
    <cfRule type="containsText" dxfId="313" priority="319" operator="containsText" text="Completed">
      <formula>NOT(ISERROR(SEARCH("Completed",H77)))</formula>
    </cfRule>
  </conditionalFormatting>
  <conditionalFormatting sqref="F77:G77">
    <cfRule type="containsText" dxfId="312" priority="316" operator="containsText" text="NON BANKING">
      <formula>NOT(ISERROR(SEARCH("NON BANKING",F77)))</formula>
    </cfRule>
  </conditionalFormatting>
  <conditionalFormatting sqref="H78">
    <cfRule type="containsText" dxfId="311" priority="313" operator="containsText" text="To Do List">
      <formula>NOT(ISERROR(SEARCH("To Do List",H78)))</formula>
    </cfRule>
    <cfRule type="containsText" dxfId="310" priority="314" operator="containsText" text="Fraud">
      <formula>NOT(ISERROR(SEARCH("Fraud",H78)))</formula>
    </cfRule>
    <cfRule type="containsText" dxfId="309" priority="315" operator="containsText" text="Completed">
      <formula>NOT(ISERROR(SEARCH("Completed",H78)))</formula>
    </cfRule>
  </conditionalFormatting>
  <conditionalFormatting sqref="F78:G78">
    <cfRule type="containsText" dxfId="308" priority="312" operator="containsText" text="NON BANKING">
      <formula>NOT(ISERROR(SEARCH("NON BANKING",F78)))</formula>
    </cfRule>
  </conditionalFormatting>
  <conditionalFormatting sqref="H79">
    <cfRule type="containsText" dxfId="307" priority="309" operator="containsText" text="To Do List">
      <formula>NOT(ISERROR(SEARCH("To Do List",H79)))</formula>
    </cfRule>
    <cfRule type="containsText" dxfId="306" priority="310" operator="containsText" text="Fraud">
      <formula>NOT(ISERROR(SEARCH("Fraud",H79)))</formula>
    </cfRule>
    <cfRule type="containsText" dxfId="305" priority="311" operator="containsText" text="Completed">
      <formula>NOT(ISERROR(SEARCH("Completed",H79)))</formula>
    </cfRule>
  </conditionalFormatting>
  <conditionalFormatting sqref="F79:G79">
    <cfRule type="containsText" dxfId="304" priority="308" operator="containsText" text="NON BANKING">
      <formula>NOT(ISERROR(SEARCH("NON BANKING",F79)))</formula>
    </cfRule>
  </conditionalFormatting>
  <conditionalFormatting sqref="H80">
    <cfRule type="containsText" dxfId="303" priority="305" operator="containsText" text="To Do List">
      <formula>NOT(ISERROR(SEARCH("To Do List",H80)))</formula>
    </cfRule>
    <cfRule type="containsText" dxfId="302" priority="306" operator="containsText" text="Fraud">
      <formula>NOT(ISERROR(SEARCH("Fraud",H80)))</formula>
    </cfRule>
    <cfRule type="containsText" dxfId="301" priority="307" operator="containsText" text="Completed">
      <formula>NOT(ISERROR(SEARCH("Completed",H80)))</formula>
    </cfRule>
  </conditionalFormatting>
  <conditionalFormatting sqref="F80:G80">
    <cfRule type="containsText" dxfId="300" priority="304" operator="containsText" text="NON BANKING">
      <formula>NOT(ISERROR(SEARCH("NON BANKING",F80)))</formula>
    </cfRule>
  </conditionalFormatting>
  <conditionalFormatting sqref="H81">
    <cfRule type="containsText" dxfId="299" priority="301" operator="containsText" text="To Do List">
      <formula>NOT(ISERROR(SEARCH("To Do List",H81)))</formula>
    </cfRule>
    <cfRule type="containsText" dxfId="298" priority="302" operator="containsText" text="Fraud">
      <formula>NOT(ISERROR(SEARCH("Fraud",H81)))</formula>
    </cfRule>
    <cfRule type="containsText" dxfId="297" priority="303" operator="containsText" text="Completed">
      <formula>NOT(ISERROR(SEARCH("Completed",H81)))</formula>
    </cfRule>
  </conditionalFormatting>
  <conditionalFormatting sqref="F81:G81">
    <cfRule type="containsText" dxfId="296" priority="300" operator="containsText" text="NON BANKING">
      <formula>NOT(ISERROR(SEARCH("NON BANKING",F81)))</formula>
    </cfRule>
  </conditionalFormatting>
  <conditionalFormatting sqref="H82">
    <cfRule type="containsText" dxfId="295" priority="297" operator="containsText" text="To Do List">
      <formula>NOT(ISERROR(SEARCH("To Do List",H82)))</formula>
    </cfRule>
    <cfRule type="containsText" dxfId="294" priority="298" operator="containsText" text="Fraud">
      <formula>NOT(ISERROR(SEARCH("Fraud",H82)))</formula>
    </cfRule>
    <cfRule type="containsText" dxfId="293" priority="299" operator="containsText" text="Completed">
      <formula>NOT(ISERROR(SEARCH("Completed",H82)))</formula>
    </cfRule>
  </conditionalFormatting>
  <conditionalFormatting sqref="F82:G82">
    <cfRule type="containsText" dxfId="292" priority="296" operator="containsText" text="NON BANKING">
      <formula>NOT(ISERROR(SEARCH("NON BANKING",F82)))</formula>
    </cfRule>
  </conditionalFormatting>
  <conditionalFormatting sqref="H83">
    <cfRule type="containsText" dxfId="291" priority="293" operator="containsText" text="To Do List">
      <formula>NOT(ISERROR(SEARCH("To Do List",H83)))</formula>
    </cfRule>
    <cfRule type="containsText" dxfId="290" priority="294" operator="containsText" text="Fraud">
      <formula>NOT(ISERROR(SEARCH("Fraud",H83)))</formula>
    </cfRule>
    <cfRule type="containsText" dxfId="289" priority="295" operator="containsText" text="Completed">
      <formula>NOT(ISERROR(SEARCH("Completed",H83)))</formula>
    </cfRule>
  </conditionalFormatting>
  <conditionalFormatting sqref="F83:G83">
    <cfRule type="containsText" dxfId="288" priority="292" operator="containsText" text="NON BANKING">
      <formula>NOT(ISERROR(SEARCH("NON BANKING",F83)))</formula>
    </cfRule>
  </conditionalFormatting>
  <conditionalFormatting sqref="H84">
    <cfRule type="containsText" dxfId="287" priority="289" operator="containsText" text="To Do List">
      <formula>NOT(ISERROR(SEARCH("To Do List",H84)))</formula>
    </cfRule>
    <cfRule type="containsText" dxfId="286" priority="290" operator="containsText" text="Fraud">
      <formula>NOT(ISERROR(SEARCH("Fraud",H84)))</formula>
    </cfRule>
    <cfRule type="containsText" dxfId="285" priority="291" operator="containsText" text="Completed">
      <formula>NOT(ISERROR(SEARCH("Completed",H84)))</formula>
    </cfRule>
  </conditionalFormatting>
  <conditionalFormatting sqref="H84">
    <cfRule type="containsText" dxfId="284" priority="286" operator="containsText" text="To Do List">
      <formula>NOT(ISERROR(SEARCH("To Do List",H84)))</formula>
    </cfRule>
    <cfRule type="containsText" dxfId="283" priority="287" operator="containsText" text="Fraud">
      <formula>NOT(ISERROR(SEARCH("Fraud",H84)))</formula>
    </cfRule>
    <cfRule type="containsText" dxfId="282" priority="288" operator="containsText" text="Completed">
      <formula>NOT(ISERROR(SEARCH("Completed",H84)))</formula>
    </cfRule>
  </conditionalFormatting>
  <conditionalFormatting sqref="H85">
    <cfRule type="containsText" dxfId="281" priority="283" operator="containsText" text="To Do List">
      <formula>NOT(ISERROR(SEARCH("To Do List",H85)))</formula>
    </cfRule>
    <cfRule type="containsText" dxfId="280" priority="284" operator="containsText" text="Fraud">
      <formula>NOT(ISERROR(SEARCH("Fraud",H85)))</formula>
    </cfRule>
    <cfRule type="containsText" dxfId="279" priority="285" operator="containsText" text="Completed">
      <formula>NOT(ISERROR(SEARCH("Completed",H85)))</formula>
    </cfRule>
  </conditionalFormatting>
  <conditionalFormatting sqref="H85">
    <cfRule type="containsText" dxfId="278" priority="280" operator="containsText" text="To Do List">
      <formula>NOT(ISERROR(SEARCH("To Do List",H85)))</formula>
    </cfRule>
    <cfRule type="containsText" dxfId="277" priority="281" operator="containsText" text="Fraud">
      <formula>NOT(ISERROR(SEARCH("Fraud",H85)))</formula>
    </cfRule>
    <cfRule type="containsText" dxfId="276" priority="282" operator="containsText" text="Completed">
      <formula>NOT(ISERROR(SEARCH("Completed",H85)))</formula>
    </cfRule>
  </conditionalFormatting>
  <conditionalFormatting sqref="H86">
    <cfRule type="containsText" dxfId="275" priority="277" operator="containsText" text="To Do List">
      <formula>NOT(ISERROR(SEARCH("To Do List",H86)))</formula>
    </cfRule>
    <cfRule type="containsText" dxfId="274" priority="278" operator="containsText" text="Fraud">
      <formula>NOT(ISERROR(SEARCH("Fraud",H86)))</formula>
    </cfRule>
    <cfRule type="containsText" dxfId="273" priority="279" operator="containsText" text="Completed">
      <formula>NOT(ISERROR(SEARCH("Completed",H86)))</formula>
    </cfRule>
  </conditionalFormatting>
  <conditionalFormatting sqref="F86:G86">
    <cfRule type="containsText" dxfId="272" priority="276" operator="containsText" text="NON BANKING">
      <formula>NOT(ISERROR(SEARCH("NON BANKING",F86)))</formula>
    </cfRule>
  </conditionalFormatting>
  <conditionalFormatting sqref="H87">
    <cfRule type="containsText" dxfId="271" priority="273" operator="containsText" text="To Do List">
      <formula>NOT(ISERROR(SEARCH("To Do List",H87)))</formula>
    </cfRule>
    <cfRule type="containsText" dxfId="270" priority="274" operator="containsText" text="Fraud">
      <formula>NOT(ISERROR(SEARCH("Fraud",H87)))</formula>
    </cfRule>
    <cfRule type="containsText" dxfId="269" priority="275" operator="containsText" text="Completed">
      <formula>NOT(ISERROR(SEARCH("Completed",H87)))</formula>
    </cfRule>
  </conditionalFormatting>
  <conditionalFormatting sqref="F87:G87">
    <cfRule type="containsText" dxfId="268" priority="272" operator="containsText" text="NON BANKING">
      <formula>NOT(ISERROR(SEARCH("NON BANKING",F87)))</formula>
    </cfRule>
  </conditionalFormatting>
  <conditionalFormatting sqref="H9:H10">
    <cfRule type="containsText" dxfId="267" priority="267" operator="containsText" text="To Do List">
      <formula>NOT(ISERROR(SEARCH("To Do List",H9)))</formula>
    </cfRule>
    <cfRule type="containsText" dxfId="266" priority="268" operator="containsText" text="Fraud">
      <formula>NOT(ISERROR(SEARCH("Fraud",H9)))</formula>
    </cfRule>
    <cfRule type="containsText" dxfId="265" priority="269" operator="containsText" text="Completed">
      <formula>NOT(ISERROR(SEARCH("Completed",H9)))</formula>
    </cfRule>
  </conditionalFormatting>
  <conditionalFormatting sqref="F9:G10">
    <cfRule type="containsText" dxfId="264" priority="266" operator="containsText" text="NON BANKING">
      <formula>NOT(ISERROR(SEARCH("NON BANKING",F9)))</formula>
    </cfRule>
  </conditionalFormatting>
  <conditionalFormatting sqref="A13:A52">
    <cfRule type="duplicateValues" dxfId="263" priority="264"/>
    <cfRule type="duplicateValues" dxfId="262" priority="265"/>
  </conditionalFormatting>
  <conditionalFormatting sqref="H11:H12">
    <cfRule type="containsText" dxfId="261" priority="261" operator="containsText" text="To Do List">
      <formula>NOT(ISERROR(SEARCH("To Do List",H11)))</formula>
    </cfRule>
    <cfRule type="containsText" dxfId="260" priority="262" operator="containsText" text="Fraud">
      <formula>NOT(ISERROR(SEARCH("Fraud",H11)))</formula>
    </cfRule>
    <cfRule type="containsText" dxfId="259" priority="263" operator="containsText" text="Completed">
      <formula>NOT(ISERROR(SEARCH("Completed",H11)))</formula>
    </cfRule>
  </conditionalFormatting>
  <conditionalFormatting sqref="F11:G12">
    <cfRule type="containsText" dxfId="258" priority="260" operator="containsText" text="NON BANKING">
      <formula>NOT(ISERROR(SEARCH("NON BANKING",F11)))</formula>
    </cfRule>
  </conditionalFormatting>
  <conditionalFormatting sqref="H46">
    <cfRule type="containsText" dxfId="257" priority="257" operator="containsText" text="To Do List">
      <formula>NOT(ISERROR(SEARCH("To Do List",H46)))</formula>
    </cfRule>
    <cfRule type="containsText" dxfId="256" priority="258" operator="containsText" text="Fraud">
      <formula>NOT(ISERROR(SEARCH("Fraud",H46)))</formula>
    </cfRule>
    <cfRule type="containsText" dxfId="255" priority="259" operator="containsText" text="Completed">
      <formula>NOT(ISERROR(SEARCH("Completed",H46)))</formula>
    </cfRule>
  </conditionalFormatting>
  <conditionalFormatting sqref="F46:G46">
    <cfRule type="containsText" dxfId="254" priority="256" operator="containsText" text="NON BANKING">
      <formula>NOT(ISERROR(SEARCH("NON BANKING",F46)))</formula>
    </cfRule>
  </conditionalFormatting>
  <conditionalFormatting sqref="H47">
    <cfRule type="containsText" dxfId="253" priority="253" operator="containsText" text="To Do List">
      <formula>NOT(ISERROR(SEARCH("To Do List",H47)))</formula>
    </cfRule>
    <cfRule type="containsText" dxfId="252" priority="254" operator="containsText" text="Fraud">
      <formula>NOT(ISERROR(SEARCH("Fraud",H47)))</formula>
    </cfRule>
    <cfRule type="containsText" dxfId="251" priority="255" operator="containsText" text="Completed">
      <formula>NOT(ISERROR(SEARCH("Completed",H47)))</formula>
    </cfRule>
  </conditionalFormatting>
  <conditionalFormatting sqref="F47:G47">
    <cfRule type="containsText" dxfId="250" priority="252" operator="containsText" text="NON BANKING">
      <formula>NOT(ISERROR(SEARCH("NON BANKING",F47)))</formula>
    </cfRule>
  </conditionalFormatting>
  <conditionalFormatting sqref="H48">
    <cfRule type="containsText" dxfId="249" priority="249" operator="containsText" text="To Do List">
      <formula>NOT(ISERROR(SEARCH("To Do List",H48)))</formula>
    </cfRule>
    <cfRule type="containsText" dxfId="248" priority="250" operator="containsText" text="Fraud">
      <formula>NOT(ISERROR(SEARCH("Fraud",H48)))</formula>
    </cfRule>
    <cfRule type="containsText" dxfId="247" priority="251" operator="containsText" text="Completed">
      <formula>NOT(ISERROR(SEARCH("Completed",H48)))</formula>
    </cfRule>
  </conditionalFormatting>
  <conditionalFormatting sqref="F48:G48">
    <cfRule type="containsText" dxfId="246" priority="248" operator="containsText" text="NON BANKING">
      <formula>NOT(ISERROR(SEARCH("NON BANKING",F48)))</formula>
    </cfRule>
  </conditionalFormatting>
  <conditionalFormatting sqref="H49">
    <cfRule type="containsText" dxfId="245" priority="245" operator="containsText" text="To Do List">
      <formula>NOT(ISERROR(SEARCH("To Do List",H49)))</formula>
    </cfRule>
    <cfRule type="containsText" dxfId="244" priority="246" operator="containsText" text="Fraud">
      <formula>NOT(ISERROR(SEARCH("Fraud",H49)))</formula>
    </cfRule>
    <cfRule type="containsText" dxfId="243" priority="247" operator="containsText" text="Completed">
      <formula>NOT(ISERROR(SEARCH("Completed",H49)))</formula>
    </cfRule>
  </conditionalFormatting>
  <conditionalFormatting sqref="F49:G49">
    <cfRule type="containsText" dxfId="242" priority="244" operator="containsText" text="NON BANKING">
      <formula>NOT(ISERROR(SEARCH("NON BANKING",F49)))</formula>
    </cfRule>
  </conditionalFormatting>
  <conditionalFormatting sqref="H50">
    <cfRule type="containsText" dxfId="241" priority="241" operator="containsText" text="To Do List">
      <formula>NOT(ISERROR(SEARCH("To Do List",H50)))</formula>
    </cfRule>
    <cfRule type="containsText" dxfId="240" priority="242" operator="containsText" text="Fraud">
      <formula>NOT(ISERROR(SEARCH("Fraud",H50)))</formula>
    </cfRule>
    <cfRule type="containsText" dxfId="239" priority="243" operator="containsText" text="Completed">
      <formula>NOT(ISERROR(SEARCH("Completed",H50)))</formula>
    </cfRule>
  </conditionalFormatting>
  <conditionalFormatting sqref="F50:G50">
    <cfRule type="containsText" dxfId="238" priority="240" operator="containsText" text="NON BANKING">
      <formula>NOT(ISERROR(SEARCH("NON BANKING",F50)))</formula>
    </cfRule>
  </conditionalFormatting>
  <conditionalFormatting sqref="H51">
    <cfRule type="containsText" dxfId="237" priority="237" operator="containsText" text="To Do List">
      <formula>NOT(ISERROR(SEARCH("To Do List",H51)))</formula>
    </cfRule>
    <cfRule type="containsText" dxfId="236" priority="238" operator="containsText" text="Fraud">
      <formula>NOT(ISERROR(SEARCH("Fraud",H51)))</formula>
    </cfRule>
    <cfRule type="containsText" dxfId="235" priority="239" operator="containsText" text="Completed">
      <formula>NOT(ISERROR(SEARCH("Completed",H51)))</formula>
    </cfRule>
  </conditionalFormatting>
  <conditionalFormatting sqref="F51:G51">
    <cfRule type="containsText" dxfId="234" priority="236" operator="containsText" text="NON BANKING">
      <formula>NOT(ISERROR(SEARCH("NON BANKING",F51)))</formula>
    </cfRule>
  </conditionalFormatting>
  <conditionalFormatting sqref="H52">
    <cfRule type="containsText" dxfId="233" priority="233" operator="containsText" text="To Do List">
      <formula>NOT(ISERROR(SEARCH("To Do List",H52)))</formula>
    </cfRule>
    <cfRule type="containsText" dxfId="232" priority="234" operator="containsText" text="Fraud">
      <formula>NOT(ISERROR(SEARCH("Fraud",H52)))</formula>
    </cfRule>
    <cfRule type="containsText" dxfId="231" priority="235" operator="containsText" text="Completed">
      <formula>NOT(ISERROR(SEARCH("Completed",H52)))</formula>
    </cfRule>
  </conditionalFormatting>
  <conditionalFormatting sqref="F52:G52">
    <cfRule type="containsText" dxfId="230" priority="232" operator="containsText" text="NON BANKING">
      <formula>NOT(ISERROR(SEARCH("NON BANKING",F52)))</formula>
    </cfRule>
  </conditionalFormatting>
  <conditionalFormatting sqref="H13">
    <cfRule type="containsText" dxfId="229" priority="229" operator="containsText" text="To Do List">
      <formula>NOT(ISERROR(SEARCH("To Do List",H13)))</formula>
    </cfRule>
    <cfRule type="containsText" dxfId="228" priority="230" operator="containsText" text="Fraud">
      <formula>NOT(ISERROR(SEARCH("Fraud",H13)))</formula>
    </cfRule>
    <cfRule type="containsText" dxfId="227" priority="231" operator="containsText" text="Completed">
      <formula>NOT(ISERROR(SEARCH("Completed",H13)))</formula>
    </cfRule>
  </conditionalFormatting>
  <conditionalFormatting sqref="F13:G13">
    <cfRule type="containsText" dxfId="226" priority="228" operator="containsText" text="NON BANKING">
      <formula>NOT(ISERROR(SEARCH("NON BANKING",F13)))</formula>
    </cfRule>
  </conditionalFormatting>
  <conditionalFormatting sqref="H14">
    <cfRule type="containsText" dxfId="225" priority="225" operator="containsText" text="To Do List">
      <formula>NOT(ISERROR(SEARCH("To Do List",H14)))</formula>
    </cfRule>
    <cfRule type="containsText" dxfId="224" priority="226" operator="containsText" text="Fraud">
      <formula>NOT(ISERROR(SEARCH("Fraud",H14)))</formula>
    </cfRule>
    <cfRule type="containsText" dxfId="223" priority="227" operator="containsText" text="Completed">
      <formula>NOT(ISERROR(SEARCH("Completed",H14)))</formula>
    </cfRule>
  </conditionalFormatting>
  <conditionalFormatting sqref="F14:G14">
    <cfRule type="containsText" dxfId="222" priority="224" operator="containsText" text="NON BANKING">
      <formula>NOT(ISERROR(SEARCH("NON BANKING",F14)))</formula>
    </cfRule>
  </conditionalFormatting>
  <conditionalFormatting sqref="H15">
    <cfRule type="containsText" dxfId="221" priority="221" operator="containsText" text="To Do List">
      <formula>NOT(ISERROR(SEARCH("To Do List",H15)))</formula>
    </cfRule>
    <cfRule type="containsText" dxfId="220" priority="222" operator="containsText" text="Fraud">
      <formula>NOT(ISERROR(SEARCH("Fraud",H15)))</formula>
    </cfRule>
    <cfRule type="containsText" dxfId="219" priority="223" operator="containsText" text="Completed">
      <formula>NOT(ISERROR(SEARCH("Completed",H15)))</formula>
    </cfRule>
  </conditionalFormatting>
  <conditionalFormatting sqref="F15:G15">
    <cfRule type="containsText" dxfId="218" priority="220" operator="containsText" text="NON BANKING">
      <formula>NOT(ISERROR(SEARCH("NON BANKING",F15)))</formula>
    </cfRule>
  </conditionalFormatting>
  <conditionalFormatting sqref="H16">
    <cfRule type="containsText" dxfId="217" priority="217" operator="containsText" text="To Do List">
      <formula>NOT(ISERROR(SEARCH("To Do List",H16)))</formula>
    </cfRule>
    <cfRule type="containsText" dxfId="216" priority="218" operator="containsText" text="Fraud">
      <formula>NOT(ISERROR(SEARCH("Fraud",H16)))</formula>
    </cfRule>
    <cfRule type="containsText" dxfId="215" priority="219" operator="containsText" text="Completed">
      <formula>NOT(ISERROR(SEARCH("Completed",H16)))</formula>
    </cfRule>
  </conditionalFormatting>
  <conditionalFormatting sqref="F16:G16">
    <cfRule type="containsText" dxfId="214" priority="216" operator="containsText" text="NON BANKING">
      <formula>NOT(ISERROR(SEARCH("NON BANKING",F16)))</formula>
    </cfRule>
  </conditionalFormatting>
  <conditionalFormatting sqref="H17">
    <cfRule type="containsText" dxfId="213" priority="213" operator="containsText" text="To Do List">
      <formula>NOT(ISERROR(SEARCH("To Do List",H17)))</formula>
    </cfRule>
    <cfRule type="containsText" dxfId="212" priority="214" operator="containsText" text="Fraud">
      <formula>NOT(ISERROR(SEARCH("Fraud",H17)))</formula>
    </cfRule>
    <cfRule type="containsText" dxfId="211" priority="215" operator="containsText" text="Completed">
      <formula>NOT(ISERROR(SEARCH("Completed",H17)))</formula>
    </cfRule>
  </conditionalFormatting>
  <conditionalFormatting sqref="F17:G17">
    <cfRule type="containsText" dxfId="210" priority="212" operator="containsText" text="NON BANKING">
      <formula>NOT(ISERROR(SEARCH("NON BANKING",F17)))</formula>
    </cfRule>
  </conditionalFormatting>
  <conditionalFormatting sqref="H18">
    <cfRule type="containsText" dxfId="209" priority="209" operator="containsText" text="To Do List">
      <formula>NOT(ISERROR(SEARCH("To Do List",H18)))</formula>
    </cfRule>
    <cfRule type="containsText" dxfId="208" priority="210" operator="containsText" text="Fraud">
      <formula>NOT(ISERROR(SEARCH("Fraud",H18)))</formula>
    </cfRule>
    <cfRule type="containsText" dxfId="207" priority="211" operator="containsText" text="Completed">
      <formula>NOT(ISERROR(SEARCH("Completed",H18)))</formula>
    </cfRule>
  </conditionalFormatting>
  <conditionalFormatting sqref="F18:G18">
    <cfRule type="containsText" dxfId="206" priority="208" operator="containsText" text="NON BANKING">
      <formula>NOT(ISERROR(SEARCH("NON BANKING",F18)))</formula>
    </cfRule>
  </conditionalFormatting>
  <conditionalFormatting sqref="H19">
    <cfRule type="containsText" dxfId="205" priority="205" operator="containsText" text="To Do List">
      <formula>NOT(ISERROR(SEARCH("To Do List",H19)))</formula>
    </cfRule>
    <cfRule type="containsText" dxfId="204" priority="206" operator="containsText" text="Fraud">
      <formula>NOT(ISERROR(SEARCH("Fraud",H19)))</formula>
    </cfRule>
    <cfRule type="containsText" dxfId="203" priority="207" operator="containsText" text="Completed">
      <formula>NOT(ISERROR(SEARCH("Completed",H19)))</formula>
    </cfRule>
  </conditionalFormatting>
  <conditionalFormatting sqref="F19:G19">
    <cfRule type="containsText" dxfId="202" priority="204" operator="containsText" text="NON BANKING">
      <formula>NOT(ISERROR(SEARCH("NON BANKING",F19)))</formula>
    </cfRule>
  </conditionalFormatting>
  <conditionalFormatting sqref="H20">
    <cfRule type="containsText" dxfId="201" priority="201" operator="containsText" text="To Do List">
      <formula>NOT(ISERROR(SEARCH("To Do List",H20)))</formula>
    </cfRule>
    <cfRule type="containsText" dxfId="200" priority="202" operator="containsText" text="Fraud">
      <formula>NOT(ISERROR(SEARCH("Fraud",H20)))</formula>
    </cfRule>
    <cfRule type="containsText" dxfId="199" priority="203" operator="containsText" text="Completed">
      <formula>NOT(ISERROR(SEARCH("Completed",H20)))</formula>
    </cfRule>
  </conditionalFormatting>
  <conditionalFormatting sqref="F20:G20">
    <cfRule type="containsText" dxfId="198" priority="200" operator="containsText" text="NON BANKING">
      <formula>NOT(ISERROR(SEARCH("NON BANKING",F20)))</formula>
    </cfRule>
  </conditionalFormatting>
  <conditionalFormatting sqref="H21">
    <cfRule type="containsText" dxfId="197" priority="197" operator="containsText" text="To Do List">
      <formula>NOT(ISERROR(SEARCH("To Do List",H21)))</formula>
    </cfRule>
    <cfRule type="containsText" dxfId="196" priority="198" operator="containsText" text="Fraud">
      <formula>NOT(ISERROR(SEARCH("Fraud",H21)))</formula>
    </cfRule>
    <cfRule type="containsText" dxfId="195" priority="199" operator="containsText" text="Completed">
      <formula>NOT(ISERROR(SEARCH("Completed",H21)))</formula>
    </cfRule>
  </conditionalFormatting>
  <conditionalFormatting sqref="F21:G21">
    <cfRule type="containsText" dxfId="194" priority="196" operator="containsText" text="NON BANKING">
      <formula>NOT(ISERROR(SEARCH("NON BANKING",F21)))</formula>
    </cfRule>
  </conditionalFormatting>
  <conditionalFormatting sqref="H53:H57">
    <cfRule type="containsText" dxfId="193" priority="193" operator="containsText" text="To Do List">
      <formula>NOT(ISERROR(SEARCH("To Do List",H53)))</formula>
    </cfRule>
    <cfRule type="containsText" dxfId="192" priority="194" operator="containsText" text="Fraud">
      <formula>NOT(ISERROR(SEARCH("Fraud",H53)))</formula>
    </cfRule>
    <cfRule type="containsText" dxfId="191" priority="195" operator="containsText" text="Completed">
      <formula>NOT(ISERROR(SEARCH("Completed",H53)))</formula>
    </cfRule>
  </conditionalFormatting>
  <conditionalFormatting sqref="F53:G57">
    <cfRule type="containsText" dxfId="190" priority="192" operator="containsText" text="NON BANKING">
      <formula>NOT(ISERROR(SEARCH("NON BANKING",F53)))</formula>
    </cfRule>
  </conditionalFormatting>
  <conditionalFormatting sqref="H58">
    <cfRule type="containsText" dxfId="189" priority="189" operator="containsText" text="To Do List">
      <formula>NOT(ISERROR(SEARCH("To Do List",H58)))</formula>
    </cfRule>
    <cfRule type="containsText" dxfId="188" priority="190" operator="containsText" text="Fraud">
      <formula>NOT(ISERROR(SEARCH("Fraud",H58)))</formula>
    </cfRule>
    <cfRule type="containsText" dxfId="187" priority="191" operator="containsText" text="Completed">
      <formula>NOT(ISERROR(SEARCH("Completed",H58)))</formula>
    </cfRule>
  </conditionalFormatting>
  <conditionalFormatting sqref="F58:G58">
    <cfRule type="containsText" dxfId="186" priority="188" operator="containsText" text="NON BANKING">
      <formula>NOT(ISERROR(SEARCH("NON BANKING",F58)))</formula>
    </cfRule>
  </conditionalFormatting>
  <conditionalFormatting sqref="H59:H60">
    <cfRule type="containsText" dxfId="185" priority="185" operator="containsText" text="To Do List">
      <formula>NOT(ISERROR(SEARCH("To Do List",H59)))</formula>
    </cfRule>
    <cfRule type="containsText" dxfId="184" priority="186" operator="containsText" text="Fraud">
      <formula>NOT(ISERROR(SEARCH("Fraud",H59)))</formula>
    </cfRule>
    <cfRule type="containsText" dxfId="183" priority="187" operator="containsText" text="Completed">
      <formula>NOT(ISERROR(SEARCH("Completed",H59)))</formula>
    </cfRule>
  </conditionalFormatting>
  <conditionalFormatting sqref="F59:G60">
    <cfRule type="containsText" dxfId="182" priority="184" operator="containsText" text="NON BANKING">
      <formula>NOT(ISERROR(SEARCH("NON BANKING",F59)))</formula>
    </cfRule>
  </conditionalFormatting>
  <conditionalFormatting sqref="H61:H62">
    <cfRule type="containsText" dxfId="181" priority="181" operator="containsText" text="To Do List">
      <formula>NOT(ISERROR(SEARCH("To Do List",H61)))</formula>
    </cfRule>
    <cfRule type="containsText" dxfId="180" priority="182" operator="containsText" text="Fraud">
      <formula>NOT(ISERROR(SEARCH("Fraud",H61)))</formula>
    </cfRule>
    <cfRule type="containsText" dxfId="179" priority="183" operator="containsText" text="Completed">
      <formula>NOT(ISERROR(SEARCH("Completed",H61)))</formula>
    </cfRule>
  </conditionalFormatting>
  <conditionalFormatting sqref="F61:G62">
    <cfRule type="containsText" dxfId="178" priority="180" operator="containsText" text="NON BANKING">
      <formula>NOT(ISERROR(SEARCH("NON BANKING",F61)))</formula>
    </cfRule>
  </conditionalFormatting>
  <conditionalFormatting sqref="H64">
    <cfRule type="containsText" dxfId="177" priority="177" operator="containsText" text="To Do List">
      <formula>NOT(ISERROR(SEARCH("To Do List",H64)))</formula>
    </cfRule>
    <cfRule type="containsText" dxfId="176" priority="178" operator="containsText" text="Fraud">
      <formula>NOT(ISERROR(SEARCH("Fraud",H64)))</formula>
    </cfRule>
    <cfRule type="containsText" dxfId="175" priority="179" operator="containsText" text="Completed">
      <formula>NOT(ISERROR(SEARCH("Completed",H64)))</formula>
    </cfRule>
  </conditionalFormatting>
  <conditionalFormatting sqref="F64:G64">
    <cfRule type="containsText" dxfId="174" priority="176" operator="containsText" text="NON BANKING">
      <formula>NOT(ISERROR(SEARCH("NON BANKING",F64)))</formula>
    </cfRule>
  </conditionalFormatting>
  <conditionalFormatting sqref="H63">
    <cfRule type="containsText" dxfId="173" priority="173" operator="containsText" text="To Do List">
      <formula>NOT(ISERROR(SEARCH("To Do List",H63)))</formula>
    </cfRule>
    <cfRule type="containsText" dxfId="172" priority="174" operator="containsText" text="Fraud">
      <formula>NOT(ISERROR(SEARCH("Fraud",H63)))</formula>
    </cfRule>
    <cfRule type="containsText" dxfId="171" priority="175" operator="containsText" text="Completed">
      <formula>NOT(ISERROR(SEARCH("Completed",H63)))</formula>
    </cfRule>
  </conditionalFormatting>
  <conditionalFormatting sqref="H65:H66">
    <cfRule type="containsText" dxfId="170" priority="170" operator="containsText" text="To Do List">
      <formula>NOT(ISERROR(SEARCH("To Do List",H65)))</formula>
    </cfRule>
    <cfRule type="containsText" dxfId="169" priority="171" operator="containsText" text="Fraud">
      <formula>NOT(ISERROR(SEARCH("Fraud",H65)))</formula>
    </cfRule>
    <cfRule type="containsText" dxfId="168" priority="172" operator="containsText" text="Completed">
      <formula>NOT(ISERROR(SEARCH("Completed",H65)))</formula>
    </cfRule>
  </conditionalFormatting>
  <conditionalFormatting sqref="F65:G66">
    <cfRule type="containsText" dxfId="167" priority="169" operator="containsText" text="NON BANKING">
      <formula>NOT(ISERROR(SEARCH("NON BANKING",F65)))</formula>
    </cfRule>
  </conditionalFormatting>
  <conditionalFormatting sqref="H22">
    <cfRule type="containsText" dxfId="166" priority="166" operator="containsText" text="To Do List">
      <formula>NOT(ISERROR(SEARCH("To Do List",H22)))</formula>
    </cfRule>
    <cfRule type="containsText" dxfId="165" priority="167" operator="containsText" text="Fraud">
      <formula>NOT(ISERROR(SEARCH("Fraud",H22)))</formula>
    </cfRule>
    <cfRule type="containsText" dxfId="164" priority="168" operator="containsText" text="Completed">
      <formula>NOT(ISERROR(SEARCH("Completed",H22)))</formula>
    </cfRule>
  </conditionalFormatting>
  <conditionalFormatting sqref="F22:G22">
    <cfRule type="containsText" dxfId="163" priority="165" operator="containsText" text="NON BANKING">
      <formula>NOT(ISERROR(SEARCH("NON BANKING",F22)))</formula>
    </cfRule>
  </conditionalFormatting>
  <conditionalFormatting sqref="H23">
    <cfRule type="containsText" dxfId="162" priority="162" operator="containsText" text="To Do List">
      <formula>NOT(ISERROR(SEARCH("To Do List",H23)))</formula>
    </cfRule>
    <cfRule type="containsText" dxfId="161" priority="163" operator="containsText" text="Fraud">
      <formula>NOT(ISERROR(SEARCH("Fraud",H23)))</formula>
    </cfRule>
    <cfRule type="containsText" dxfId="160" priority="164" operator="containsText" text="Completed">
      <formula>NOT(ISERROR(SEARCH("Completed",H23)))</formula>
    </cfRule>
  </conditionalFormatting>
  <conditionalFormatting sqref="F23:G23">
    <cfRule type="containsText" dxfId="159" priority="161" operator="containsText" text="NON BANKING">
      <formula>NOT(ISERROR(SEARCH("NON BANKING",F23)))</formula>
    </cfRule>
  </conditionalFormatting>
  <conditionalFormatting sqref="H24">
    <cfRule type="containsText" dxfId="158" priority="158" operator="containsText" text="To Do List">
      <formula>NOT(ISERROR(SEARCH("To Do List",H24)))</formula>
    </cfRule>
    <cfRule type="containsText" dxfId="157" priority="159" operator="containsText" text="Fraud">
      <formula>NOT(ISERROR(SEARCH("Fraud",H24)))</formula>
    </cfRule>
    <cfRule type="containsText" dxfId="156" priority="160" operator="containsText" text="Completed">
      <formula>NOT(ISERROR(SEARCH("Completed",H24)))</formula>
    </cfRule>
  </conditionalFormatting>
  <conditionalFormatting sqref="F24:G24">
    <cfRule type="containsText" dxfId="155" priority="157" operator="containsText" text="NON BANKING">
      <formula>NOT(ISERROR(SEARCH("NON BANKING",F24)))</formula>
    </cfRule>
  </conditionalFormatting>
  <conditionalFormatting sqref="H25">
    <cfRule type="containsText" dxfId="154" priority="154" operator="containsText" text="To Do List">
      <formula>NOT(ISERROR(SEARCH("To Do List",H25)))</formula>
    </cfRule>
    <cfRule type="containsText" dxfId="153" priority="155" operator="containsText" text="Fraud">
      <formula>NOT(ISERROR(SEARCH("Fraud",H25)))</formula>
    </cfRule>
    <cfRule type="containsText" dxfId="152" priority="156" operator="containsText" text="Completed">
      <formula>NOT(ISERROR(SEARCH("Completed",H25)))</formula>
    </cfRule>
  </conditionalFormatting>
  <conditionalFormatting sqref="F25:G25">
    <cfRule type="containsText" dxfId="151" priority="153" operator="containsText" text="NON BANKING">
      <formula>NOT(ISERROR(SEARCH("NON BANKING",F25)))</formula>
    </cfRule>
  </conditionalFormatting>
  <conditionalFormatting sqref="K9">
    <cfRule type="duplicateValues" dxfId="150" priority="149"/>
    <cfRule type="duplicateValues" dxfId="149" priority="150"/>
  </conditionalFormatting>
  <conditionalFormatting sqref="K10">
    <cfRule type="duplicateValues" dxfId="148" priority="147"/>
    <cfRule type="duplicateValues" dxfId="147" priority="148"/>
  </conditionalFormatting>
  <conditionalFormatting sqref="K11">
    <cfRule type="duplicateValues" dxfId="146" priority="145"/>
    <cfRule type="duplicateValues" dxfId="145" priority="146"/>
  </conditionalFormatting>
  <conditionalFormatting sqref="K12">
    <cfRule type="duplicateValues" dxfId="144" priority="143"/>
    <cfRule type="duplicateValues" dxfId="143" priority="144"/>
  </conditionalFormatting>
  <conditionalFormatting sqref="K13">
    <cfRule type="duplicateValues" dxfId="142" priority="141"/>
    <cfRule type="duplicateValues" dxfId="141" priority="142"/>
  </conditionalFormatting>
  <conditionalFormatting sqref="K14">
    <cfRule type="duplicateValues" dxfId="140" priority="139"/>
    <cfRule type="duplicateValues" dxfId="139" priority="140"/>
  </conditionalFormatting>
  <conditionalFormatting sqref="K15">
    <cfRule type="duplicateValues" dxfId="138" priority="137"/>
    <cfRule type="duplicateValues" dxfId="137" priority="138"/>
  </conditionalFormatting>
  <conditionalFormatting sqref="H26">
    <cfRule type="containsText" dxfId="136" priority="134" operator="containsText" text="To Do List">
      <formula>NOT(ISERROR(SEARCH("To Do List",H26)))</formula>
    </cfRule>
    <cfRule type="containsText" dxfId="135" priority="135" operator="containsText" text="Fraud">
      <formula>NOT(ISERROR(SEARCH("Fraud",H26)))</formula>
    </cfRule>
    <cfRule type="containsText" dxfId="134" priority="136" operator="containsText" text="Completed">
      <formula>NOT(ISERROR(SEARCH("Completed",H26)))</formula>
    </cfRule>
  </conditionalFormatting>
  <conditionalFormatting sqref="F26:G26">
    <cfRule type="containsText" dxfId="133" priority="133" operator="containsText" text="NON BANKING">
      <formula>NOT(ISERROR(SEARCH("NON BANKING",F26)))</formula>
    </cfRule>
  </conditionalFormatting>
  <conditionalFormatting sqref="K16">
    <cfRule type="duplicateValues" dxfId="132" priority="127"/>
    <cfRule type="duplicateValues" dxfId="131" priority="128"/>
  </conditionalFormatting>
  <conditionalFormatting sqref="K17">
    <cfRule type="duplicateValues" dxfId="130" priority="125"/>
    <cfRule type="duplicateValues" dxfId="129" priority="126"/>
  </conditionalFormatting>
  <conditionalFormatting sqref="H29">
    <cfRule type="containsText" dxfId="128" priority="122" operator="containsText" text="To Do List">
      <formula>NOT(ISERROR(SEARCH("To Do List",H29)))</formula>
    </cfRule>
    <cfRule type="containsText" dxfId="127" priority="123" operator="containsText" text="Fraud">
      <formula>NOT(ISERROR(SEARCH("Fraud",H29)))</formula>
    </cfRule>
    <cfRule type="containsText" dxfId="126" priority="124" operator="containsText" text="Completed">
      <formula>NOT(ISERROR(SEARCH("Completed",H29)))</formula>
    </cfRule>
  </conditionalFormatting>
  <conditionalFormatting sqref="F29:G29">
    <cfRule type="containsText" dxfId="125" priority="121" operator="containsText" text="NON BANKING">
      <formula>NOT(ISERROR(SEARCH("NON BANKING",F29)))</formula>
    </cfRule>
  </conditionalFormatting>
  <conditionalFormatting sqref="K18">
    <cfRule type="duplicateValues" dxfId="124" priority="119"/>
    <cfRule type="duplicateValues" dxfId="123" priority="120"/>
  </conditionalFormatting>
  <conditionalFormatting sqref="K19">
    <cfRule type="duplicateValues" dxfId="122" priority="117"/>
    <cfRule type="duplicateValues" dxfId="121" priority="118"/>
  </conditionalFormatting>
  <conditionalFormatting sqref="H30">
    <cfRule type="containsText" dxfId="120" priority="114" operator="containsText" text="To Do List">
      <formula>NOT(ISERROR(SEARCH("To Do List",H30)))</formula>
    </cfRule>
    <cfRule type="containsText" dxfId="119" priority="115" operator="containsText" text="Fraud">
      <formula>NOT(ISERROR(SEARCH("Fraud",H30)))</formula>
    </cfRule>
    <cfRule type="containsText" dxfId="118" priority="116" operator="containsText" text="Completed">
      <formula>NOT(ISERROR(SEARCH("Completed",H30)))</formula>
    </cfRule>
  </conditionalFormatting>
  <conditionalFormatting sqref="F30:G30">
    <cfRule type="containsText" dxfId="117" priority="113" operator="containsText" text="NON BANKING">
      <formula>NOT(ISERROR(SEARCH("NON BANKING",F30)))</formula>
    </cfRule>
  </conditionalFormatting>
  <conditionalFormatting sqref="H31">
    <cfRule type="containsText" dxfId="116" priority="110" operator="containsText" text="To Do List">
      <formula>NOT(ISERROR(SEARCH("To Do List",H31)))</formula>
    </cfRule>
    <cfRule type="containsText" dxfId="115" priority="111" operator="containsText" text="Fraud">
      <formula>NOT(ISERROR(SEARCH("Fraud",H31)))</formula>
    </cfRule>
    <cfRule type="containsText" dxfId="114" priority="112" operator="containsText" text="Completed">
      <formula>NOT(ISERROR(SEARCH("Completed",H31)))</formula>
    </cfRule>
  </conditionalFormatting>
  <conditionalFormatting sqref="F31:G31">
    <cfRule type="containsText" dxfId="113" priority="109" operator="containsText" text="NON BANKING">
      <formula>NOT(ISERROR(SEARCH("NON BANKING",F31)))</formula>
    </cfRule>
  </conditionalFormatting>
  <conditionalFormatting sqref="H32">
    <cfRule type="containsText" dxfId="112" priority="106" operator="containsText" text="To Do List">
      <formula>NOT(ISERROR(SEARCH("To Do List",H32)))</formula>
    </cfRule>
    <cfRule type="containsText" dxfId="111" priority="107" operator="containsText" text="Fraud">
      <formula>NOT(ISERROR(SEARCH("Fraud",H32)))</formula>
    </cfRule>
    <cfRule type="containsText" dxfId="110" priority="108" operator="containsText" text="Completed">
      <formula>NOT(ISERROR(SEARCH("Completed",H32)))</formula>
    </cfRule>
  </conditionalFormatting>
  <conditionalFormatting sqref="F32:G32">
    <cfRule type="containsText" dxfId="109" priority="105" operator="containsText" text="NON BANKING">
      <formula>NOT(ISERROR(SEARCH("NON BANKING",F32)))</formula>
    </cfRule>
  </conditionalFormatting>
  <conditionalFormatting sqref="H33">
    <cfRule type="containsText" dxfId="108" priority="102" operator="containsText" text="To Do List">
      <formula>NOT(ISERROR(SEARCH("To Do List",H33)))</formula>
    </cfRule>
    <cfRule type="containsText" dxfId="107" priority="103" operator="containsText" text="Fraud">
      <formula>NOT(ISERROR(SEARCH("Fraud",H33)))</formula>
    </cfRule>
    <cfRule type="containsText" dxfId="106" priority="104" operator="containsText" text="Completed">
      <formula>NOT(ISERROR(SEARCH("Completed",H33)))</formula>
    </cfRule>
  </conditionalFormatting>
  <conditionalFormatting sqref="F33:G33">
    <cfRule type="containsText" dxfId="105" priority="101" operator="containsText" text="NON BANKING">
      <formula>NOT(ISERROR(SEARCH("NON BANKING",F33)))</formula>
    </cfRule>
  </conditionalFormatting>
  <conditionalFormatting sqref="H34">
    <cfRule type="containsText" dxfId="104" priority="98" operator="containsText" text="To Do List">
      <formula>NOT(ISERROR(SEARCH("To Do List",H34)))</formula>
    </cfRule>
    <cfRule type="containsText" dxfId="103" priority="99" operator="containsText" text="Fraud">
      <formula>NOT(ISERROR(SEARCH("Fraud",H34)))</formula>
    </cfRule>
    <cfRule type="containsText" dxfId="102" priority="100" operator="containsText" text="Completed">
      <formula>NOT(ISERROR(SEARCH("Completed",H34)))</formula>
    </cfRule>
  </conditionalFormatting>
  <conditionalFormatting sqref="F34:G34">
    <cfRule type="containsText" dxfId="101" priority="97" operator="containsText" text="NON BANKING">
      <formula>NOT(ISERROR(SEARCH("NON BANKING",F34)))</formula>
    </cfRule>
  </conditionalFormatting>
  <conditionalFormatting sqref="H35">
    <cfRule type="containsText" dxfId="100" priority="94" operator="containsText" text="To Do List">
      <formula>NOT(ISERROR(SEARCH("To Do List",H35)))</formula>
    </cfRule>
    <cfRule type="containsText" dxfId="99" priority="95" operator="containsText" text="Fraud">
      <formula>NOT(ISERROR(SEARCH("Fraud",H35)))</formula>
    </cfRule>
    <cfRule type="containsText" dxfId="98" priority="96" operator="containsText" text="Completed">
      <formula>NOT(ISERROR(SEARCH("Completed",H35)))</formula>
    </cfRule>
  </conditionalFormatting>
  <conditionalFormatting sqref="F35:G35">
    <cfRule type="containsText" dxfId="97" priority="93" operator="containsText" text="NON BANKING">
      <formula>NOT(ISERROR(SEARCH("NON BANKING",F35)))</formula>
    </cfRule>
  </conditionalFormatting>
  <conditionalFormatting sqref="H36">
    <cfRule type="containsText" dxfId="96" priority="90" operator="containsText" text="To Do List">
      <formula>NOT(ISERROR(SEARCH("To Do List",H36)))</formula>
    </cfRule>
    <cfRule type="containsText" dxfId="95" priority="91" operator="containsText" text="Fraud">
      <formula>NOT(ISERROR(SEARCH("Fraud",H36)))</formula>
    </cfRule>
    <cfRule type="containsText" dxfId="94" priority="92" operator="containsText" text="Completed">
      <formula>NOT(ISERROR(SEARCH("Completed",H36)))</formula>
    </cfRule>
  </conditionalFormatting>
  <conditionalFormatting sqref="F36:G36">
    <cfRule type="containsText" dxfId="93" priority="89" operator="containsText" text="NON BANKING">
      <formula>NOT(ISERROR(SEARCH("NON BANKING",F36)))</formula>
    </cfRule>
  </conditionalFormatting>
  <conditionalFormatting sqref="H37">
    <cfRule type="containsText" dxfId="92" priority="86" operator="containsText" text="To Do List">
      <formula>NOT(ISERROR(SEARCH("To Do List",H37)))</formula>
    </cfRule>
    <cfRule type="containsText" dxfId="91" priority="87" operator="containsText" text="Fraud">
      <formula>NOT(ISERROR(SEARCH("Fraud",H37)))</formula>
    </cfRule>
    <cfRule type="containsText" dxfId="90" priority="88" operator="containsText" text="Completed">
      <formula>NOT(ISERROR(SEARCH("Completed",H37)))</formula>
    </cfRule>
  </conditionalFormatting>
  <conditionalFormatting sqref="F37:G37">
    <cfRule type="containsText" dxfId="89" priority="85" operator="containsText" text="NON BANKING">
      <formula>NOT(ISERROR(SEARCH("NON BANKING",F37)))</formula>
    </cfRule>
  </conditionalFormatting>
  <conditionalFormatting sqref="H38">
    <cfRule type="containsText" dxfId="88" priority="82" operator="containsText" text="To Do List">
      <formula>NOT(ISERROR(SEARCH("To Do List",H38)))</formula>
    </cfRule>
    <cfRule type="containsText" dxfId="87" priority="83" operator="containsText" text="Fraud">
      <formula>NOT(ISERROR(SEARCH("Fraud",H38)))</formula>
    </cfRule>
    <cfRule type="containsText" dxfId="86" priority="84" operator="containsText" text="Completed">
      <formula>NOT(ISERROR(SEARCH("Completed",H38)))</formula>
    </cfRule>
  </conditionalFormatting>
  <conditionalFormatting sqref="F38:G38">
    <cfRule type="containsText" dxfId="85" priority="81" operator="containsText" text="NON BANKING">
      <formula>NOT(ISERROR(SEARCH("NON BANKING",F38)))</formula>
    </cfRule>
  </conditionalFormatting>
  <conditionalFormatting sqref="H39">
    <cfRule type="containsText" dxfId="84" priority="78" operator="containsText" text="To Do List">
      <formula>NOT(ISERROR(SEARCH("To Do List",H39)))</formula>
    </cfRule>
    <cfRule type="containsText" dxfId="83" priority="79" operator="containsText" text="Fraud">
      <formula>NOT(ISERROR(SEARCH("Fraud",H39)))</formula>
    </cfRule>
    <cfRule type="containsText" dxfId="82" priority="80" operator="containsText" text="Completed">
      <formula>NOT(ISERROR(SEARCH("Completed",H39)))</formula>
    </cfRule>
  </conditionalFormatting>
  <conditionalFormatting sqref="F39:G39">
    <cfRule type="containsText" dxfId="81" priority="77" operator="containsText" text="NON BANKING">
      <formula>NOT(ISERROR(SEARCH("NON BANKING",F39)))</formula>
    </cfRule>
  </conditionalFormatting>
  <conditionalFormatting sqref="A68:A92">
    <cfRule type="duplicateValues" dxfId="80" priority="75"/>
    <cfRule type="duplicateValues" dxfId="79" priority="76"/>
  </conditionalFormatting>
  <conditionalFormatting sqref="H67">
    <cfRule type="containsText" dxfId="78" priority="72" operator="containsText" text="To Do List">
      <formula>NOT(ISERROR(SEARCH("To Do List",H67)))</formula>
    </cfRule>
    <cfRule type="containsText" dxfId="77" priority="73" operator="containsText" text="Fraud">
      <formula>NOT(ISERROR(SEARCH("Fraud",H67)))</formula>
    </cfRule>
    <cfRule type="containsText" dxfId="76" priority="74" operator="containsText" text="Completed">
      <formula>NOT(ISERROR(SEARCH("Completed",H67)))</formula>
    </cfRule>
  </conditionalFormatting>
  <conditionalFormatting sqref="F67:G67">
    <cfRule type="containsText" dxfId="75" priority="71" operator="containsText" text="NON BANKING">
      <formula>NOT(ISERROR(SEARCH("NON BANKING",F67)))</formula>
    </cfRule>
  </conditionalFormatting>
  <conditionalFormatting sqref="K20">
    <cfRule type="duplicateValues" dxfId="74" priority="69"/>
    <cfRule type="duplicateValues" dxfId="73" priority="70"/>
  </conditionalFormatting>
  <conditionalFormatting sqref="H40">
    <cfRule type="containsText" dxfId="72" priority="66" operator="containsText" text="To Do List">
      <formula>NOT(ISERROR(SEARCH("To Do List",H40)))</formula>
    </cfRule>
    <cfRule type="containsText" dxfId="71" priority="67" operator="containsText" text="Fraud">
      <formula>NOT(ISERROR(SEARCH("Fraud",H40)))</formula>
    </cfRule>
    <cfRule type="containsText" dxfId="70" priority="68" operator="containsText" text="Completed">
      <formula>NOT(ISERROR(SEARCH("Completed",H40)))</formula>
    </cfRule>
  </conditionalFormatting>
  <conditionalFormatting sqref="F40:G40">
    <cfRule type="containsText" dxfId="69" priority="65" operator="containsText" text="NON BANKING">
      <formula>NOT(ISERROR(SEARCH("NON BANKING",F40)))</formula>
    </cfRule>
  </conditionalFormatting>
  <conditionalFormatting sqref="H41">
    <cfRule type="containsText" dxfId="68" priority="62" operator="containsText" text="To Do List">
      <formula>NOT(ISERROR(SEARCH("To Do List",H41)))</formula>
    </cfRule>
    <cfRule type="containsText" dxfId="67" priority="63" operator="containsText" text="Fraud">
      <formula>NOT(ISERROR(SEARCH("Fraud",H41)))</formula>
    </cfRule>
    <cfRule type="containsText" dxfId="66" priority="64" operator="containsText" text="Completed">
      <formula>NOT(ISERROR(SEARCH("Completed",H41)))</formula>
    </cfRule>
  </conditionalFormatting>
  <conditionalFormatting sqref="F41:G41">
    <cfRule type="containsText" dxfId="65" priority="61" operator="containsText" text="NON BANKING">
      <formula>NOT(ISERROR(SEARCH("NON BANKING",F41)))</formula>
    </cfRule>
  </conditionalFormatting>
  <conditionalFormatting sqref="H42">
    <cfRule type="containsText" dxfId="64" priority="58" operator="containsText" text="To Do List">
      <formula>NOT(ISERROR(SEARCH("To Do List",H42)))</formula>
    </cfRule>
    <cfRule type="containsText" dxfId="63" priority="59" operator="containsText" text="Fraud">
      <formula>NOT(ISERROR(SEARCH("Fraud",H42)))</formula>
    </cfRule>
    <cfRule type="containsText" dxfId="62" priority="60" operator="containsText" text="Completed">
      <formula>NOT(ISERROR(SEARCH("Completed",H42)))</formula>
    </cfRule>
  </conditionalFormatting>
  <conditionalFormatting sqref="F42:G42">
    <cfRule type="containsText" dxfId="61" priority="57" operator="containsText" text="NON BANKING">
      <formula>NOT(ISERROR(SEARCH("NON BANKING",F42)))</formula>
    </cfRule>
  </conditionalFormatting>
  <conditionalFormatting sqref="H43">
    <cfRule type="containsText" dxfId="60" priority="54" operator="containsText" text="To Do List">
      <formula>NOT(ISERROR(SEARCH("To Do List",H43)))</formula>
    </cfRule>
    <cfRule type="containsText" dxfId="59" priority="55" operator="containsText" text="Fraud">
      <formula>NOT(ISERROR(SEARCH("Fraud",H43)))</formula>
    </cfRule>
    <cfRule type="containsText" dxfId="58" priority="56" operator="containsText" text="Completed">
      <formula>NOT(ISERROR(SEARCH("Completed",H43)))</formula>
    </cfRule>
  </conditionalFormatting>
  <conditionalFormatting sqref="F43:G43">
    <cfRule type="containsText" dxfId="57" priority="53" operator="containsText" text="NON BANKING">
      <formula>NOT(ISERROR(SEARCH("NON BANKING",F43)))</formula>
    </cfRule>
  </conditionalFormatting>
  <conditionalFormatting sqref="H44">
    <cfRule type="containsText" dxfId="56" priority="50" operator="containsText" text="To Do List">
      <formula>NOT(ISERROR(SEARCH("To Do List",H44)))</formula>
    </cfRule>
    <cfRule type="containsText" dxfId="55" priority="51" operator="containsText" text="Fraud">
      <formula>NOT(ISERROR(SEARCH("Fraud",H44)))</formula>
    </cfRule>
    <cfRule type="containsText" dxfId="54" priority="52" operator="containsText" text="Completed">
      <formula>NOT(ISERROR(SEARCH("Completed",H44)))</formula>
    </cfRule>
  </conditionalFormatting>
  <conditionalFormatting sqref="F44:G44">
    <cfRule type="containsText" dxfId="53" priority="49" operator="containsText" text="NON BANKING">
      <formula>NOT(ISERROR(SEARCH("NON BANKING",F44)))</formula>
    </cfRule>
  </conditionalFormatting>
  <conditionalFormatting sqref="H45">
    <cfRule type="containsText" dxfId="52" priority="46" operator="containsText" text="To Do List">
      <formula>NOT(ISERROR(SEARCH("To Do List",H45)))</formula>
    </cfRule>
    <cfRule type="containsText" dxfId="51" priority="47" operator="containsText" text="Fraud">
      <formula>NOT(ISERROR(SEARCH("Fraud",H45)))</formula>
    </cfRule>
    <cfRule type="containsText" dxfId="50" priority="48" operator="containsText" text="Completed">
      <formula>NOT(ISERROR(SEARCH("Completed",H45)))</formula>
    </cfRule>
  </conditionalFormatting>
  <conditionalFormatting sqref="F45:G45">
    <cfRule type="containsText" dxfId="49" priority="45" operator="containsText" text="NON BANKING">
      <formula>NOT(ISERROR(SEARCH("NON BANKING",F45)))</formula>
    </cfRule>
  </conditionalFormatting>
  <conditionalFormatting sqref="H68">
    <cfRule type="containsText" dxfId="48" priority="42" operator="containsText" text="To Do List">
      <formula>NOT(ISERROR(SEARCH("To Do List",H68)))</formula>
    </cfRule>
    <cfRule type="containsText" dxfId="47" priority="43" operator="containsText" text="Fraud">
      <formula>NOT(ISERROR(SEARCH("Fraud",H68)))</formula>
    </cfRule>
    <cfRule type="containsText" dxfId="46" priority="44" operator="containsText" text="Completed">
      <formula>NOT(ISERROR(SEARCH("Completed",H68)))</formula>
    </cfRule>
  </conditionalFormatting>
  <conditionalFormatting sqref="F68:G68">
    <cfRule type="containsText" dxfId="45" priority="41" operator="containsText" text="NON BANKING">
      <formula>NOT(ISERROR(SEARCH("NON BANKING",F68)))</formula>
    </cfRule>
  </conditionalFormatting>
  <conditionalFormatting sqref="H69">
    <cfRule type="containsText" dxfId="44" priority="38" operator="containsText" text="To Do List">
      <formula>NOT(ISERROR(SEARCH("To Do List",H69)))</formula>
    </cfRule>
    <cfRule type="containsText" dxfId="43" priority="39" operator="containsText" text="Fraud">
      <formula>NOT(ISERROR(SEARCH("Fraud",H69)))</formula>
    </cfRule>
    <cfRule type="containsText" dxfId="42" priority="40" operator="containsText" text="Completed">
      <formula>NOT(ISERROR(SEARCH("Completed",H69)))</formula>
    </cfRule>
  </conditionalFormatting>
  <conditionalFormatting sqref="F69:G69">
    <cfRule type="containsText" dxfId="41" priority="37" operator="containsText" text="NON BANKING">
      <formula>NOT(ISERROR(SEARCH("NON BANKING",F69)))</formula>
    </cfRule>
  </conditionalFormatting>
  <conditionalFormatting sqref="H70">
    <cfRule type="containsText" dxfId="40" priority="34" operator="containsText" text="To Do List">
      <formula>NOT(ISERROR(SEARCH("To Do List",H70)))</formula>
    </cfRule>
    <cfRule type="containsText" dxfId="39" priority="35" operator="containsText" text="Fraud">
      <formula>NOT(ISERROR(SEARCH("Fraud",H70)))</formula>
    </cfRule>
    <cfRule type="containsText" dxfId="38" priority="36" operator="containsText" text="Completed">
      <formula>NOT(ISERROR(SEARCH("Completed",H70)))</formula>
    </cfRule>
  </conditionalFormatting>
  <conditionalFormatting sqref="F70:G70">
    <cfRule type="containsText" dxfId="37" priority="33" operator="containsText" text="NON BANKING">
      <formula>NOT(ISERROR(SEARCH("NON BANKING",F70)))</formula>
    </cfRule>
  </conditionalFormatting>
  <conditionalFormatting sqref="H71">
    <cfRule type="containsText" dxfId="36" priority="30" operator="containsText" text="To Do List">
      <formula>NOT(ISERROR(SEARCH("To Do List",H71)))</formula>
    </cfRule>
    <cfRule type="containsText" dxfId="35" priority="31" operator="containsText" text="Fraud">
      <formula>NOT(ISERROR(SEARCH("Fraud",H71)))</formula>
    </cfRule>
    <cfRule type="containsText" dxfId="34" priority="32" operator="containsText" text="Completed">
      <formula>NOT(ISERROR(SEARCH("Completed",H71)))</formula>
    </cfRule>
  </conditionalFormatting>
  <conditionalFormatting sqref="F71:G71">
    <cfRule type="containsText" dxfId="33" priority="29" operator="containsText" text="NON BANKING">
      <formula>NOT(ISERROR(SEARCH("NON BANKING",F71)))</formula>
    </cfRule>
  </conditionalFormatting>
  <conditionalFormatting sqref="H72">
    <cfRule type="containsText" dxfId="32" priority="26" operator="containsText" text="To Do List">
      <formula>NOT(ISERROR(SEARCH("To Do List",H72)))</formula>
    </cfRule>
    <cfRule type="containsText" dxfId="31" priority="27" operator="containsText" text="Fraud">
      <formula>NOT(ISERROR(SEARCH("Fraud",H72)))</formula>
    </cfRule>
    <cfRule type="containsText" dxfId="30" priority="28" operator="containsText" text="Completed">
      <formula>NOT(ISERROR(SEARCH("Completed",H72)))</formula>
    </cfRule>
  </conditionalFormatting>
  <conditionalFormatting sqref="F72:G72">
    <cfRule type="containsText" dxfId="29" priority="25" operator="containsText" text="NON BANKING">
      <formula>NOT(ISERROR(SEARCH("NON BANKING",F72)))</formula>
    </cfRule>
  </conditionalFormatting>
  <conditionalFormatting sqref="H73">
    <cfRule type="containsText" dxfId="28" priority="22" operator="containsText" text="To Do List">
      <formula>NOT(ISERROR(SEARCH("To Do List",H73)))</formula>
    </cfRule>
    <cfRule type="containsText" dxfId="27" priority="23" operator="containsText" text="Fraud">
      <formula>NOT(ISERROR(SEARCH("Fraud",H73)))</formula>
    </cfRule>
    <cfRule type="containsText" dxfId="26" priority="24" operator="containsText" text="Completed">
      <formula>NOT(ISERROR(SEARCH("Completed",H73)))</formula>
    </cfRule>
  </conditionalFormatting>
  <conditionalFormatting sqref="F73:G73">
    <cfRule type="containsText" dxfId="25" priority="21" operator="containsText" text="NON BANKING">
      <formula>NOT(ISERROR(SEARCH("NON BANKING",F73)))</formula>
    </cfRule>
  </conditionalFormatting>
  <conditionalFormatting sqref="H74">
    <cfRule type="containsText" dxfId="24" priority="18" operator="containsText" text="To Do List">
      <formula>NOT(ISERROR(SEARCH("To Do List",H74)))</formula>
    </cfRule>
    <cfRule type="containsText" dxfId="23" priority="19" operator="containsText" text="Fraud">
      <formula>NOT(ISERROR(SEARCH("Fraud",H74)))</formula>
    </cfRule>
    <cfRule type="containsText" dxfId="22" priority="20" operator="containsText" text="Completed">
      <formula>NOT(ISERROR(SEARCH("Completed",H74)))</formula>
    </cfRule>
  </conditionalFormatting>
  <conditionalFormatting sqref="F74:G74">
    <cfRule type="containsText" dxfId="21" priority="17" operator="containsText" text="NON BANKING">
      <formula>NOT(ISERROR(SEARCH("NON BANKING",F74)))</formula>
    </cfRule>
  </conditionalFormatting>
  <conditionalFormatting sqref="H75">
    <cfRule type="containsText" dxfId="20" priority="14" operator="containsText" text="To Do List">
      <formula>NOT(ISERROR(SEARCH("To Do List",H75)))</formula>
    </cfRule>
    <cfRule type="containsText" dxfId="19" priority="15" operator="containsText" text="Fraud">
      <formula>NOT(ISERROR(SEARCH("Fraud",H75)))</formula>
    </cfRule>
    <cfRule type="containsText" dxfId="18" priority="16" operator="containsText" text="Completed">
      <formula>NOT(ISERROR(SEARCH("Completed",H75)))</formula>
    </cfRule>
  </conditionalFormatting>
  <conditionalFormatting sqref="F75:G75">
    <cfRule type="containsText" dxfId="17" priority="13" operator="containsText" text="NON BANKING">
      <formula>NOT(ISERROR(SEARCH("NON BANKING",F75)))</formula>
    </cfRule>
  </conditionalFormatting>
  <conditionalFormatting sqref="H76">
    <cfRule type="containsText" dxfId="16" priority="10" operator="containsText" text="To Do List">
      <formula>NOT(ISERROR(SEARCH("To Do List",H76)))</formula>
    </cfRule>
    <cfRule type="containsText" dxfId="15" priority="11" operator="containsText" text="Fraud">
      <formula>NOT(ISERROR(SEARCH("Fraud",H76)))</formula>
    </cfRule>
    <cfRule type="containsText" dxfId="14" priority="12" operator="containsText" text="Completed">
      <formula>NOT(ISERROR(SEARCH("Completed",H76)))</formula>
    </cfRule>
  </conditionalFormatting>
  <conditionalFormatting sqref="F76:G76">
    <cfRule type="containsText" dxfId="13" priority="9" operator="containsText" text="NON BANKING">
      <formula>NOT(ISERROR(SEARCH("NON BANKING",F76)))</formula>
    </cfRule>
  </conditionalFormatting>
  <conditionalFormatting sqref="J9:Q352 J8 M8:Q8">
    <cfRule type="expression" dxfId="10" priority="6">
      <formula>($J8="√")</formula>
    </cfRule>
  </conditionalFormatting>
  <conditionalFormatting sqref="K8">
    <cfRule type="duplicateValues" dxfId="4" priority="1"/>
    <cfRule type="duplicateValues" dxfId="3" priority="2"/>
    <cfRule type="duplicateValues" dxfId="2" priority="3"/>
    <cfRule type="duplicateValues" dxfId="1" priority="4"/>
    <cfRule type="duplicateValues" dxfId="0" priority="5"/>
  </conditionalFormatting>
  <dataValidations count="9">
    <dataValidation type="list" allowBlank="1" showInputMessage="1" showErrorMessage="1" sqref="E8:E344 L23:L27 L32:L40 L42:L43 L45 L48:L49 L51:L53 L55:L58 L63:L72 L78:L80 L82:L84 L86:L92 L8:L21">
      <formula1>anomale</formula1>
    </dataValidation>
    <dataValidation type="list" allowBlank="1" showInputMessage="1" showErrorMessage="1" sqref="G97 G99 G101 G103 G105 G107 G109 G111:G112 G114 G116 G118 G120 G122 G124 G126 G128 G130 G132 G134 G136 G138 G140 G142 G144 G146 G148 G150 G152 G154 G156 G158 G160 G162 G164 G166 G168 G170 G172 G174 G176 G178 G180 G182 G184 G186 G188 G190 G192 G194 G196 G198 G200 G202 G204 G206 G208 G210 G212 G214 G216 G218 G220 G222 G224 G226 G228 G230 G232 G234 G236 G238 G240 G242 G244 G246 G248 G250 G252 G254 G256 G258 G260 G262 G264 G266 G268 G270 G272 G274 G276 G278 G280 G282 G284 G286 G288 G290 G292 G294 G296 G298 G300 G302 G304 G306 G308 G310 G312 G314 G316 G318 G320 G322 G324 G326 G328 G330 G332 G334 G336 G338 G340 G342 G344">
      <formula1>"No Anomaly,KYC,Income Doc,SOA,Other Queries,Sampling,Invalid Visa,First Salary Credit"</formula1>
    </dataValidation>
    <dataValidation type="list" allowBlank="1" showInputMessage="1" showErrorMessage="1" sqref="L93:L352 L22 L28:L31 L41 L44 L46:L47 L50 L54 L59:L62 L73:L77 L81 L85">
      <formula1>"SAMPLING,EV,SOA,INCOME,KYC,INCOMPLETE DOCS,PDC,OTHER"</formula1>
    </dataValidation>
    <dataValidation type="list" allowBlank="1" showInputMessage="1" showErrorMessage="1" sqref="N190:N352">
      <formula1>"ü,x"</formula1>
    </dataValidation>
    <dataValidation type="list" allowBlank="1" showInputMessage="1" sqref="S7:S352 J7:J352">
      <formula1>"□,√"</formula1>
    </dataValidation>
    <dataValidation type="list" allowBlank="1" showInputMessage="1" showErrorMessage="1" sqref="M8:M352">
      <formula1>"YES,NR"</formula1>
    </dataValidation>
    <dataValidation type="list" allowBlank="1" showInputMessage="1" sqref="H8:H344">
      <formula1>"Completed,Fraud,To Do List"</formula1>
    </dataValidation>
    <dataValidation type="list" allowBlank="1" showInputMessage="1" showErrorMessage="1" sqref="F8:F344">
      <formula1>INDIRECT(E8)</formula1>
    </dataValidation>
    <dataValidation type="list" allowBlank="1" showInputMessage="1" showErrorMessage="1" sqref="N8:N11">
      <formula1>"SUSPENDED,UNSUSPENDED"</formula1>
    </dataValidation>
  </dataValidations>
  <hyperlinks>
    <hyperlink ref="O3" r:id="rId1"/>
    <hyperlink ref="O2" r:id="rId2"/>
    <hyperlink ref="AX1" r:id="rId3"/>
    <hyperlink ref="AX2" r:id="rId4"/>
  </hyperlinks>
  <pageMargins left="0.7" right="0.7" top="0.75" bottom="0.75" header="0.3" footer="0.3"/>
  <pageSetup paperSize="9" orientation="portrait" horizontalDpi="300" verticalDpi="300"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Data Saving</vt:lpstr>
      <vt:lpstr>Master</vt:lpstr>
      <vt:lpstr>anomale</vt:lpstr>
      <vt:lpstr>anomaly</vt:lpstr>
      <vt:lpstr>incompletedoc</vt:lpstr>
      <vt:lpstr>noanomaly</vt:lpstr>
      <vt:lpstr>OTHERQUERIES</vt:lpstr>
      <vt:lpstr>queries</vt:lpstr>
      <vt:lpstr>soa</vt:lpstr>
    </vt:vector>
  </TitlesOfParts>
  <Company>EmiratesNBD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Tanfeeth (Kamal Yussuf Taj Mohammed)</dc:creator>
  <cp:lastModifiedBy>Tanfeeth (RCC- App Check) Kamal Yussuf Taj Mohammed</cp:lastModifiedBy>
  <dcterms:created xsi:type="dcterms:W3CDTF">2019-05-01T03:55:44Z</dcterms:created>
  <dcterms:modified xsi:type="dcterms:W3CDTF">2019-10-06T04:12:50Z</dcterms:modified>
</cp:coreProperties>
</file>